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2211DC26-6DD3-41FA-8086-136D8EAAA8DE}" xr6:coauthVersionLast="47" xr6:coauthVersionMax="47" xr10:uidLastSave="{00000000-0000-0000-0000-000000000000}"/>
  <bookViews>
    <workbookView xWindow="-120" yWindow="-120" windowWidth="29040" windowHeight="17520" activeTab="5" xr2:uid="{00000000-000D-0000-FFFF-FFFF00000000}"/>
  </bookViews>
  <sheets>
    <sheet name="Control de Cambios" sheetId="1" r:id="rId1"/>
    <sheet name="Tablas de referencia" sheetId="2" r:id="rId2"/>
    <sheet name="Instructivo" sheetId="3" r:id="rId3"/>
    <sheet name="Evaluación de Riesgos" sheetId="4" r:id="rId4"/>
    <sheet name="Valoración de Activos" sheetId="6" r:id="rId5"/>
    <sheet name="Análisis de Riesgos"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4" i="7" l="1"/>
  <c r="D24" i="7"/>
  <c r="P23" i="7"/>
  <c r="D23" i="7"/>
  <c r="P22" i="7"/>
  <c r="D22" i="7"/>
  <c r="P21" i="7"/>
  <c r="D21" i="7"/>
  <c r="P20" i="7"/>
  <c r="D20" i="7"/>
  <c r="P19" i="7"/>
  <c r="D19" i="7"/>
  <c r="P18" i="7"/>
  <c r="D18" i="7"/>
  <c r="P17" i="7"/>
  <c r="D17" i="7"/>
  <c r="P16" i="7"/>
  <c r="D16" i="7"/>
  <c r="P15" i="7"/>
  <c r="D15" i="7"/>
  <c r="P14" i="7"/>
  <c r="D14" i="7"/>
  <c r="P13" i="7"/>
  <c r="D13" i="7"/>
  <c r="P12" i="7"/>
  <c r="D12" i="7"/>
  <c r="P11" i="7"/>
  <c r="D11" i="7"/>
  <c r="P10" i="7"/>
  <c r="D10" i="7"/>
  <c r="P9" i="7"/>
  <c r="D9" i="7"/>
  <c r="P8" i="7"/>
  <c r="D8" i="7"/>
  <c r="P7" i="7"/>
  <c r="D7" i="7"/>
  <c r="P6" i="7"/>
  <c r="D6" i="7"/>
  <c r="P5" i="7"/>
  <c r="D5" i="7"/>
  <c r="O27" i="6"/>
  <c r="H24" i="7" s="1"/>
  <c r="O26" i="6"/>
  <c r="H23" i="7" s="1"/>
  <c r="O25" i="6"/>
  <c r="H22" i="7" s="1"/>
  <c r="O24" i="6"/>
  <c r="H21" i="7" s="1"/>
  <c r="O23" i="6"/>
  <c r="H20" i="7" s="1"/>
  <c r="O22" i="6"/>
  <c r="H19" i="7" s="1"/>
  <c r="O21" i="6"/>
  <c r="H18" i="7" s="1"/>
  <c r="O20" i="6"/>
  <c r="H17" i="7" s="1"/>
  <c r="O19" i="6"/>
  <c r="H16" i="7" s="1"/>
  <c r="O18" i="6"/>
  <c r="H15" i="7" s="1"/>
  <c r="O17" i="6"/>
  <c r="H14" i="7" s="1"/>
  <c r="O16" i="6"/>
  <c r="H13" i="7" s="1"/>
  <c r="O15" i="6"/>
  <c r="H12" i="7" s="1"/>
  <c r="O14" i="6"/>
  <c r="H11" i="7" s="1"/>
  <c r="O13" i="6"/>
  <c r="H10" i="7" s="1"/>
  <c r="O12" i="6"/>
  <c r="H9" i="7" s="1"/>
  <c r="O11" i="6"/>
  <c r="H8" i="7" s="1"/>
  <c r="O10" i="6"/>
  <c r="H7" i="7" s="1"/>
  <c r="O9" i="6"/>
  <c r="H6" i="7" s="1"/>
  <c r="O8" i="6"/>
  <c r="H5" i="7" s="1"/>
  <c r="M24" i="7" l="1"/>
  <c r="T24" i="7"/>
  <c r="M23" i="7"/>
  <c r="T23" i="7"/>
  <c r="M22" i="7"/>
  <c r="T22" i="7"/>
  <c r="M21" i="7"/>
  <c r="T21" i="7"/>
  <c r="M20" i="7"/>
  <c r="T20" i="7"/>
  <c r="M19" i="7"/>
  <c r="T19" i="7"/>
  <c r="M18" i="7"/>
  <c r="T18" i="7"/>
  <c r="M17" i="7"/>
  <c r="T17" i="7"/>
  <c r="M16" i="7"/>
  <c r="T16" i="7"/>
  <c r="M15" i="7"/>
  <c r="T15" i="7"/>
  <c r="M14" i="7"/>
  <c r="T14" i="7"/>
  <c r="M13" i="7"/>
  <c r="T13" i="7"/>
  <c r="T12" i="7"/>
  <c r="M12" i="7"/>
  <c r="M11" i="7"/>
  <c r="T11" i="7"/>
  <c r="M10" i="7"/>
  <c r="T10" i="7"/>
  <c r="M9" i="7"/>
  <c r="T9" i="7"/>
  <c r="M8" i="7"/>
  <c r="T8" i="7"/>
  <c r="M7" i="7"/>
  <c r="T7" i="7"/>
  <c r="M6" i="7"/>
  <c r="T6" i="7"/>
  <c r="M5" i="7"/>
  <c r="T5" i="7"/>
  <c r="N24" i="7" l="1"/>
  <c r="O24" i="7"/>
  <c r="U24" i="7"/>
  <c r="V24" i="7"/>
  <c r="N23" i="7"/>
  <c r="O23" i="7"/>
  <c r="U23" i="7"/>
  <c r="V23" i="7"/>
  <c r="N22" i="7"/>
  <c r="O22" i="7"/>
  <c r="U22" i="7"/>
  <c r="V22" i="7"/>
  <c r="N21" i="7"/>
  <c r="O21" i="7"/>
  <c r="U21" i="7"/>
  <c r="V21" i="7"/>
  <c r="N20" i="7"/>
  <c r="O20" i="7"/>
  <c r="U20" i="7"/>
  <c r="V20" i="7"/>
  <c r="N19" i="7"/>
  <c r="O19" i="7"/>
  <c r="U19" i="7"/>
  <c r="V19" i="7"/>
  <c r="N18" i="7"/>
  <c r="O18" i="7"/>
  <c r="V18" i="7"/>
  <c r="U18" i="7"/>
  <c r="N17" i="7"/>
  <c r="O17" i="7"/>
  <c r="U17" i="7"/>
  <c r="V17" i="7"/>
  <c r="N16" i="7"/>
  <c r="O16" i="7"/>
  <c r="U16" i="7"/>
  <c r="V16" i="7"/>
  <c r="N15" i="7"/>
  <c r="O15" i="7"/>
  <c r="U15" i="7"/>
  <c r="V15" i="7"/>
  <c r="N14" i="7"/>
  <c r="O14" i="7"/>
  <c r="U14" i="7"/>
  <c r="V14" i="7"/>
  <c r="N13" i="7"/>
  <c r="O13" i="7"/>
  <c r="U13" i="7"/>
  <c r="V13" i="7"/>
  <c r="U12" i="7"/>
  <c r="V12" i="7"/>
  <c r="N12" i="7"/>
  <c r="O12" i="7"/>
  <c r="N11" i="7"/>
  <c r="O11" i="7"/>
  <c r="U11" i="7"/>
  <c r="V11" i="7"/>
  <c r="O10" i="7"/>
  <c r="N10" i="7"/>
  <c r="V10" i="7"/>
  <c r="U10" i="7"/>
  <c r="N9" i="7"/>
  <c r="O9" i="7"/>
  <c r="U9" i="7"/>
  <c r="V9" i="7"/>
  <c r="N8" i="7"/>
  <c r="O8" i="7"/>
  <c r="U8" i="7"/>
  <c r="V8" i="7"/>
  <c r="N7" i="7"/>
  <c r="O7" i="7"/>
  <c r="U7" i="7"/>
  <c r="V7" i="7"/>
  <c r="N6" i="7"/>
  <c r="O6" i="7"/>
  <c r="U6" i="7"/>
  <c r="V6" i="7"/>
  <c r="N5" i="7"/>
  <c r="O5" i="7"/>
  <c r="U5" i="7"/>
  <c r="V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Liceth Carolina Muñoz Puenayán</author>
  </authors>
  <commentList>
    <comment ref="C17" authorId="0" shapeId="0" xr:uid="{00000000-0006-0000-0100-000001000000}">
      <text>
        <r>
          <rPr>
            <sz val="10"/>
            <rFont val="Arial"/>
          </rPr>
          <t>Liceth Carolina Muñoz Puenayán:
no concuerda el criterio con la disponibilidad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Milton Alfredo Moya Galárraga</author>
  </authors>
  <commentList>
    <comment ref="K5" authorId="0" shapeId="0" xr:uid="{00000000-0006-0000-0500-000001000000}">
      <text>
        <r>
          <rPr>
            <sz val="10"/>
            <rFont val="Arial"/>
          </rPr>
          <t>Lugar físico donde se encuentra el activo</t>
        </r>
      </text>
    </comment>
    <comment ref="L5" authorId="0" shapeId="0" xr:uid="{00000000-0006-0000-0500-000002000000}">
      <text>
        <r>
          <rPr>
            <sz val="10"/>
            <rFont val="Arial"/>
          </rPr>
          <t>La valoración de los activos de la información en términos de impacto para la institución en caso de la pérdida de confidencialidad, integridad y disponibilidad, refiérase a tabla que se encuentra en la parte superior de está hoja.</t>
        </r>
      </text>
    </comment>
  </commentList>
</comments>
</file>

<file path=xl/sharedStrings.xml><?xml version="1.0" encoding="utf-8"?>
<sst xmlns="http://schemas.openxmlformats.org/spreadsheetml/2006/main" count="655" uniqueCount="449">
  <si>
    <t>VERSIONAMIENTO</t>
  </si>
  <si>
    <t>Versión:</t>
  </si>
  <si>
    <t>Fecha de la versión:</t>
  </si>
  <si>
    <t>Creado por:</t>
  </si>
  <si>
    <t>Aprobado por:</t>
  </si>
  <si>
    <t>Nivel de confidencialidad:</t>
  </si>
  <si>
    <t>Bajo</t>
  </si>
  <si>
    <t>Referencia:</t>
  </si>
  <si>
    <t>NTE-INEN ISO/IEC 27005; MAGERIT</t>
  </si>
  <si>
    <t>Tabla de valoración de Impacto en los activos de la información</t>
  </si>
  <si>
    <t>Valoración del impacto en términos de la perdida de la confidencialidad</t>
  </si>
  <si>
    <t>Criterio</t>
  </si>
  <si>
    <t>Alto (3)</t>
  </si>
  <si>
    <t>La divulgación no autorizada de la información tiene un efecto critico para la institución Ej. Divulgación de información confidencial o sensible.</t>
  </si>
  <si>
    <t>Medio (2)</t>
  </si>
  <si>
    <t>La divulgación no autorizada de la información tiene un efecto limitado para la institución  Ej. Divulgación de información de uso interno</t>
  </si>
  <si>
    <t>Bajo (1)</t>
  </si>
  <si>
    <t>La divulgación de la información no tiene ningún efecto para la institución  Ej. Divulgación de información pública.</t>
  </si>
  <si>
    <t>Valoración del impacto en términos de la perdida de la integridad</t>
  </si>
  <si>
    <t>La destrucción o modificación no autorizada de la información tiene un efecto severo para la institución</t>
  </si>
  <si>
    <t>La destrucción o modificación no autorizada de la información tiene un efecto considerable para la institución</t>
  </si>
  <si>
    <t>La destrucción o modificación de la información tiene un efecto leve para la institución</t>
  </si>
  <si>
    <t>Valoración del impacto en términos de la perdida de disponibilidad</t>
  </si>
  <si>
    <t>La interrupción al acceso de la información o los sistemas tienen un efecto severo para la institución</t>
  </si>
  <si>
    <t>La interrupción al acceso de la información o los sistemas tienen un efecto considerable para la institución</t>
  </si>
  <si>
    <t>interrupción al acceso de la información o los sistemas tienen un efecto mínimo para la institución</t>
  </si>
  <si>
    <t>ESTIMACIÓN DE AMENAZAS</t>
  </si>
  <si>
    <t>Nivel de amenazas</t>
  </si>
  <si>
    <t>Criterio por probabilidad</t>
  </si>
  <si>
    <t>Criterio por condición de ocurrencia</t>
  </si>
  <si>
    <t>Criterio por atractivo</t>
  </si>
  <si>
    <t>Ejemplo</t>
  </si>
  <si>
    <t>La ocurrencia es muy probable (probabilidad &gt; 50%)</t>
  </si>
  <si>
    <t>Bajo circunstancias normales</t>
  </si>
  <si>
    <t>El atacante se beneficia en gran medida por el ataque, tiene la capacidad técnica para ejecutarlo y la vulnerabilidad es fácilmente explotable</t>
  </si>
  <si>
    <t>Código malicioso</t>
  </si>
  <si>
    <t>La ocurrencia es probable (probabilidad =50%)</t>
  </si>
  <si>
    <t>Por errores descuidos</t>
  </si>
  <si>
    <t>El atacante se beneficia de alguna manera por el ataque, tiene la capacidad técnica para ejecutarlo y la vulnerabilidad es fácilmente explotable</t>
  </si>
  <si>
    <t>Falla de hardware</t>
  </si>
  <si>
    <t>La ocurrencia es menos probable (probabilidad &gt;0 y &lt;50%)</t>
  </si>
  <si>
    <t>en rara ocasión</t>
  </si>
  <si>
    <t>El atacante no se beneficia del ataque</t>
  </si>
  <si>
    <t>desastres naturales</t>
  </si>
  <si>
    <t>No aplica (0)</t>
  </si>
  <si>
    <t>ESTIMACIÓN DE LAS VULNERABILIDADES</t>
  </si>
  <si>
    <t>Nivel de vulnerabilidad</t>
  </si>
  <si>
    <t xml:space="preserve">Criterio </t>
  </si>
  <si>
    <t>No existe ninguna medida de seguridad implementada para prevenir la ocurrencia de la amenaza</t>
  </si>
  <si>
    <t>No se utilizan contraseñas para que los usuarios ingresen a los sistemas</t>
  </si>
  <si>
    <t>Existen medidas de seguridad implementadas que no reducen la probabilidad de ocurrencia de la amenaza a un nivel aceptable</t>
  </si>
  <si>
    <t>Existen normas para la utilización de contraseñas pero no se implementa</t>
  </si>
  <si>
    <t>La medida de seguridad es adecuada</t>
  </si>
  <si>
    <t>Existen normas para la utilización de contraseñas y es aplicada</t>
  </si>
  <si>
    <t>Relación entre amenaza, vulnerabilidad y pérdida</t>
  </si>
  <si>
    <t>AMENAZA x VULNERABILIDAD = PÉRDIDA</t>
  </si>
  <si>
    <t>VIRUS x NO TENER INSTALADO UN SOFTWARE ANTIVIRUS = DESTRUCCIÓN DE DATOS</t>
  </si>
  <si>
    <t>INSTRUCTIVO PARA LLENAR LA MATRIZ</t>
  </si>
  <si>
    <t>VALORACIÓN DEL ACTIVO</t>
  </si>
  <si>
    <t>No</t>
  </si>
  <si>
    <t>CAMPO</t>
  </si>
  <si>
    <t>INFORMACIÓN QUE DEBE CONTENER</t>
  </si>
  <si>
    <t>Nro. Activo</t>
  </si>
  <si>
    <t>Asignar el número consecutivo para cada de activo empezando desde A1</t>
  </si>
  <si>
    <t>Proceso Macro</t>
  </si>
  <si>
    <t>Registrar el nombre del proceso macro definido en el alcance del SGSI al cual pertenecen los activos de información</t>
  </si>
  <si>
    <t>Subproceso</t>
  </si>
  <si>
    <t>Registrar el nombre del subproceso que pertenecen los activos de información</t>
  </si>
  <si>
    <t>Tipo de Activo</t>
  </si>
  <si>
    <t xml:space="preserve">Definir Activo: Un activo es un elemento importante con valor para la institución y debe protegerse; los activos incluyen toda información y soporte para el funcionamiento del proceso macro a ser evaluado; se clasificn en: Hardware, software, datos, redes, personal, localización, organización. </t>
  </si>
  <si>
    <t xml:space="preserve">Nombre del Activo </t>
  </si>
  <si>
    <t>Registrar el nombre del activo de información definido en la plataforma tecnológica</t>
  </si>
  <si>
    <t>Descripción del Activo</t>
  </si>
  <si>
    <t xml:space="preserve">Digitar la descripción general del activo de información. </t>
  </si>
  <si>
    <t>Intensión del uso</t>
  </si>
  <si>
    <t>Colocar el propósito de uso del activo de información</t>
  </si>
  <si>
    <t>Tipos de soporte</t>
  </si>
  <si>
    <t>Medios en los cuales se contiene la información</t>
  </si>
  <si>
    <t>Ubicación</t>
  </si>
  <si>
    <t>Especificar el lugar donde se encuentran los activos de información</t>
  </si>
  <si>
    <t>Valoración del Impacto</t>
  </si>
  <si>
    <t>Son las consecuencias o efectos que puede ocasionar la materialización del riesgo al proceso y por ende a la institución; valorando la confidencialidad, integridad y disponibilidad de la información</t>
  </si>
  <si>
    <t>Confidencialidad</t>
  </si>
  <si>
    <t>Propiedad que determina que la información no esté disponible; ni sea revelada a individuos, instituciones o procesos no autorizados</t>
  </si>
  <si>
    <t>Integridad</t>
  </si>
  <si>
    <t>Propiedad de salvaguardar la integridad de las aplicaciones e información preservando la información completa y exacta</t>
  </si>
  <si>
    <t>Disponibilidad</t>
  </si>
  <si>
    <t>Propiedad de que la información sea accesible, utilizable y/o disponible a los usuarios autorizados cuando estos lo requieran</t>
  </si>
  <si>
    <t>ANÁLISIS DE RIESGO</t>
  </si>
  <si>
    <t>Análisis de Riesgos</t>
  </si>
  <si>
    <t>Evaluación de las vulnerabilidades que ocasionan amenazas en los activos de información</t>
  </si>
  <si>
    <t>Registrar el nombre del proceso macro definido en la hoja "Valoración del Activo"</t>
  </si>
  <si>
    <t>Registrar el nombre del subproceso definido en la hoja "Valoración del Activo"</t>
  </si>
  <si>
    <t>Registrar el número de activo definido en la hoja "Valoración del Activo"</t>
  </si>
  <si>
    <t>Amenaza</t>
  </si>
  <si>
    <t>Causa potencial de la ocurrencia de un incidente no deseado, que puede ocasionar daños a un sistema o una organización</t>
  </si>
  <si>
    <t>Vulnerabilidad</t>
  </si>
  <si>
    <t>Debilidad de un activo o control, que puede ser explotado por una o más amenazas Ejm. Ausencia de Antivirus</t>
  </si>
  <si>
    <t>Evaluación de Riesgos</t>
  </si>
  <si>
    <t>La evaluación del Riesgo permite comparar los resultados de la calificación del riesgo, con los criterios definidos para establecer el grado de exposición de la institución</t>
  </si>
  <si>
    <t>Registrar el valor del Impacto (VA) definido en la hoja "Valoración del Activo"</t>
  </si>
  <si>
    <t>Probabilidad</t>
  </si>
  <si>
    <t xml:space="preserve">La probabilidad es la medida para estimar la ocurrencia del riesgo </t>
  </si>
  <si>
    <t>Nivel de Amenaza</t>
  </si>
  <si>
    <t>Es la medida para estimar la ocurrencia del riesgo si aprovecha la amenaza definido en la hoja "Tablas de referencia"</t>
  </si>
  <si>
    <t>Nivel de Vulnerabilidad</t>
  </si>
  <si>
    <t>Es la medida para estimar la ocurrencia del riesgo si aprovecha la vulnerabilidad definido en la hoja " Tabla de referencia"</t>
  </si>
  <si>
    <t>Controles implementados existentes</t>
  </si>
  <si>
    <t>Describir si existe un control ya implementado, caso contrario dejar en blanco la celda</t>
  </si>
  <si>
    <t>Cálculo de evaluación de Riesgos</t>
  </si>
  <si>
    <t>Se multiplica el impacto por la probabilidad (Valor del activo * nivel de amenaza * nivel de vulnerabilidad ) - No modificar formula</t>
  </si>
  <si>
    <t xml:space="preserve">Nivel del Riesgo </t>
  </si>
  <si>
    <t xml:space="preserve">Es el riesgo actual sin la selección de salvaguardas </t>
  </si>
  <si>
    <t>Tratamiento del Riesgo</t>
  </si>
  <si>
    <t>Es el proceso de identificación, control y reducción o eliminación de riesgos de seguridad que puedan afectar los sistemas de información o la organización.</t>
  </si>
  <si>
    <t>Método de tratamiento de riesgos</t>
  </si>
  <si>
    <t>Se calcula automáticamente considerando la variable "calculo de evaluación de riesgos" y lo definido en la hoja "Opc. Tratamiento Riesgo".</t>
  </si>
  <si>
    <t>Tipo de Control</t>
  </si>
  <si>
    <t>Se calcula automáticamente los dos tipos de controles basándose en la estimación de la probabilidad a nivel de la amenaza o vulnerabilidad; es decir si el nivel de la amenaza es mayor a la vulnerabilidad es considerado "Control Correctivo", caso contrario si el nivel de la vulnerabilidad es igual al nivel de la amenaza o el nivel de la vulnerabilidad es mayor al nivel de la amenaza es considerado "Control preventivo"</t>
  </si>
  <si>
    <t xml:space="preserve">Control a Implementar </t>
  </si>
  <si>
    <t>Es la salvaguarda que se debe ejecutar para minimizar el riesgo</t>
  </si>
  <si>
    <t>Nivel de Riesgo con el control Implementado</t>
  </si>
  <si>
    <t>Es el riesgo que fue minimizado con la implementación del nuevo control</t>
  </si>
  <si>
    <t xml:space="preserve">Riesgo Residual </t>
  </si>
  <si>
    <t>Es aquel riesgo que subsiste después de haber implementado controles, en esta matriz es considerado "ACEPTABLE" a partir de 3</t>
  </si>
  <si>
    <t>Actividades</t>
  </si>
  <si>
    <t xml:space="preserve">Describir qué actividades se realizaron para la implementación del control, es decir, expresando en concreto cuál es la acción que se realiza, teniendo en cuenta los siguientes tres (3) requisitos:  Evidenciar cómo se demuestra que el control existe (p.ej sea este un procedimiento, protocolo, guía,  plan, directiva, resolución, memorando, instructivo, manual, política, cronograma, aplicación, Video, etc.....), Indicar quién es el encargado de aplicar el control, y, Frecuencia de aplicación del control, cuántas veces se aplica y en qué período de tiempo. </t>
  </si>
  <si>
    <t>Fecha de Implementación</t>
  </si>
  <si>
    <t>Es la fecha estimada donde se inicia la implementación del control o salvaguarda</t>
  </si>
  <si>
    <t xml:space="preserve">Fecha de verificación </t>
  </si>
  <si>
    <t>Es la fecha donde se realizara la verificación del control en base a las actividades y criterios indicados en el punto 21</t>
  </si>
  <si>
    <t>Responsable de la implementación</t>
  </si>
  <si>
    <t>Es la persona de la dirección responsable de la implementación.</t>
  </si>
  <si>
    <t>Tabla de evaluación del activo</t>
  </si>
  <si>
    <t>Nivel de Riesgo</t>
  </si>
  <si>
    <t>BAJO</t>
  </si>
  <si>
    <t>Nivel de Vulnerabilidades</t>
  </si>
  <si>
    <t xml:space="preserve"> Bajo (1)</t>
  </si>
  <si>
    <t>MEDIO</t>
  </si>
  <si>
    <t>Valor del impacto en términos de la pérdida de (CID) en los activos</t>
  </si>
  <si>
    <t>ALTO</t>
  </si>
  <si>
    <t>Evaluación del Riesgo</t>
  </si>
  <si>
    <t>Proceso de comparación del riesgo estimado contra un criterio de riesgo calculado dado para determinar la importancia del riesgo. El grado del riesgo es expresado numéricamente basado en las medidas del valor de los activos de información, el impacto de la amenaza y el alcance de la vulnerabilidad .</t>
  </si>
  <si>
    <t>Formula para calcular el grado de riesgo</t>
  </si>
  <si>
    <t>Riesgo actual = Valor del activo de la información (CID) x Amenaza x Vulnerabilidad</t>
  </si>
  <si>
    <t>Listado y valoración de los activos de información</t>
  </si>
  <si>
    <t>Criterio de valoración aplicado: alto y muy alto = 3; medio = 2.</t>
  </si>
  <si>
    <t>PROCESO</t>
  </si>
  <si>
    <t xml:space="preserve">Tipo de Activo </t>
  </si>
  <si>
    <t>NOMBRE DEL ACTIVO</t>
  </si>
  <si>
    <t>TIPO DEL ACTIVO</t>
  </si>
  <si>
    <t xml:space="preserve">Descripción del activo </t>
  </si>
  <si>
    <t>Intención del Uso</t>
  </si>
  <si>
    <t>Tipo de soporte</t>
  </si>
  <si>
    <t>Valoración de Impacto (pérdida)</t>
  </si>
  <si>
    <t>C: Confidencialidad
I: Integridad
D: Disponibilidad</t>
  </si>
  <si>
    <t>Físico</t>
  </si>
  <si>
    <t>C</t>
  </si>
  <si>
    <t>I</t>
  </si>
  <si>
    <t>D</t>
  </si>
  <si>
    <t>VA</t>
  </si>
  <si>
    <t>Virtual</t>
  </si>
  <si>
    <t>A1</t>
  </si>
  <si>
    <t>Diseño, desarrollo y operación de salas de chat seguras</t>
  </si>
  <si>
    <t>Autenticación y gestión de identidades</t>
  </si>
  <si>
    <t>Identidad y seguridad</t>
  </si>
  <si>
    <t>Cuentas y credenciales de administrador y usuarios</t>
  </si>
  <si>
    <t>Datos / credenciales</t>
  </si>
  <si>
    <t>Identidades, nombres de usuario, contraseñas y datos de autenticación que permiten administrar el sistema y acceder a las salas.</t>
  </si>
  <si>
    <t>Autenticar a administradores y usuarios y asignarles permisos mínimos.</t>
  </si>
  <si>
    <t>Digital</t>
  </si>
  <si>
    <t>Aplicación de chat y servicio de identidad</t>
  </si>
  <si>
    <t>A2</t>
  </si>
  <si>
    <t>Administración y acceso a salas</t>
  </si>
  <si>
    <t>Información / configuración</t>
  </si>
  <si>
    <t>Configuración y credenciales de las salas</t>
  </si>
  <si>
    <t>Datos de configuración</t>
  </si>
  <si>
    <t>Identificadores únicos, claves de acceso, límites de participantes y modalidad de comunicación de cada sala.</t>
  </si>
  <si>
    <t>Crear, configurar, consultar, proteger y cerrar salas de chat.</t>
  </si>
  <si>
    <t>Servicio de gestión de salas</t>
  </si>
  <si>
    <t>Lógico</t>
  </si>
  <si>
    <t>A3</t>
  </si>
  <si>
    <t>Gestión de claves y protección criptográfica</t>
  </si>
  <si>
    <t>Información / seguridad</t>
  </si>
  <si>
    <t>Claves y secretos criptográficos</t>
  </si>
  <si>
    <t>Datos criptográficos</t>
  </si>
  <si>
    <t>Material criptográfico y secretos utilizados para establecer, proteger, rotar y revocar las claves de comunicación.</t>
  </si>
  <si>
    <t>Proteger la confidencialidad, integridad y autenticidad de los mensajes.</t>
  </si>
  <si>
    <t>Gestor de claves y servicios backend</t>
  </si>
  <si>
    <t>A4</t>
  </si>
  <si>
    <t>Comunicación y gestión de mensajes</t>
  </si>
  <si>
    <t>Información</t>
  </si>
  <si>
    <t>Mensajes y metadatos de comunicación</t>
  </si>
  <si>
    <t>Datos</t>
  </si>
  <si>
    <t>Mensajes de texto y datos asociados a las comunicaciones, como sala, participantes y tiempos de envío.</t>
  </si>
  <si>
    <t>Intercambiar mensajes protegidos entre los miembros autorizados de una sala.</t>
  </si>
  <si>
    <t>Digital / en tránsito</t>
  </si>
  <si>
    <t>Canal de comunicación y backend de mensajería</t>
  </si>
  <si>
    <t>A5</t>
  </si>
  <si>
    <t>Gestión de sesiones y control de dispositivos</t>
  </si>
  <si>
    <t>Tecnológico / información</t>
  </si>
  <si>
    <t>Sesiones activas y vínculo usuario-dispositivo</t>
  </si>
  <si>
    <t>Software / datos</t>
  </si>
  <si>
    <t>Registros y tokens de sesión que permiten asociar cada usuario con un único dispositivo conectado.</t>
  </si>
  <si>
    <t>Controlar sesiones activas, impedir conexiones simultáneas no autorizadas y cerrar conexiones de forma segura.</t>
  </si>
  <si>
    <t>Servicio de autenticación y sesiones</t>
  </si>
  <si>
    <t>A6</t>
  </si>
  <si>
    <t>Servicios de chat y API</t>
  </si>
  <si>
    <t>Tecnológico</t>
  </si>
  <si>
    <t>Aplicación de chat, backend y API</t>
  </si>
  <si>
    <t>Software</t>
  </si>
  <si>
    <t>Componentes de software que gestionan autenticación, salas, participantes, mensajes y transferencia de contenidos.</t>
  </si>
  <si>
    <t>Proveer las funciones de comunicación y administrar solicitudes de usuarios y administradores.</t>
  </si>
  <si>
    <t>Servicios de aplicación del proyecto</t>
  </si>
  <si>
    <t>A7</t>
  </si>
  <si>
    <t>Persistencia y recuperación de información</t>
  </si>
  <si>
    <t>Base de datos del sistema de chat</t>
  </si>
  <si>
    <t>Datos / software</t>
  </si>
  <si>
    <t>Almacén persistente para cuentas, configuración de salas, estado de sesiones, metadatos y registros requeridos por la aplicación.</t>
  </si>
  <si>
    <t>Mantener y recuperar la información necesaria para la operación del sistema.</t>
  </si>
  <si>
    <t>Servicio de base de datos del proyecto</t>
  </si>
  <si>
    <t>A8</t>
  </si>
  <si>
    <t>Carga y transferencia de multimedia</t>
  </si>
  <si>
    <t>Archivos multimedia compartidos</t>
  </si>
  <si>
    <t>Datos multimedia</t>
  </si>
  <si>
    <t>Archivos de imagen, audio, video u otros contenidos cargados y transferidos en salas habilitadas para multimedia.</t>
  </si>
  <si>
    <t>Permitir compartir contenido multimedia de forma controlada entre participantes autorizados.</t>
  </si>
  <si>
    <t>Almacenamiento temporal o repositorio de archivos</t>
  </si>
  <si>
    <t>A9</t>
  </si>
  <si>
    <t>Validación de archivos y detección de esteganografía</t>
  </si>
  <si>
    <t>Módulo de análisis y detección de esteganografía</t>
  </si>
  <si>
    <t>Componente que inspecciona archivos, identifica contenido sospechoso o alterado y aplica la política definida para el archivo.</t>
  </si>
  <si>
    <t>Validar archivos antes de compartirlos y generar alertas ante posibles manipulaciones.</t>
  </si>
  <si>
    <t>Servicio aislado de análisis de archivos</t>
  </si>
  <si>
    <t>A10</t>
  </si>
  <si>
    <t>Auditoría y respuesta de seguridad</t>
  </si>
  <si>
    <t>Registros de auditoría y alertas de seguridad</t>
  </si>
  <si>
    <t>Datos / auditoría</t>
  </si>
  <si>
    <t>Eventos de autenticación, cambios en salas, actividad de sesiones, análisis de archivos, bloqueos y alertas.</t>
  </si>
  <si>
    <t>Investigar incidentes, demostrar trazabilidad y apoyar la respuesta de seguridad.</t>
  </si>
  <si>
    <t>Servicio centralizado de registros y monitoreo</t>
  </si>
  <si>
    <t>A11</t>
  </si>
  <si>
    <t>Infraestructura y conectividad</t>
  </si>
  <si>
    <t>Infraestructura y red de alojamiento</t>
  </si>
  <si>
    <t>Hardware / redes / servicios</t>
  </si>
  <si>
    <t>Servidores, red, servicios de alojamiento y componentes de comunicación que mantienen disponible la aplicación.</t>
  </si>
  <si>
    <t>Conectar clientes con los servicios de chat y sostener su operación continua.</t>
  </si>
  <si>
    <t>Físico y digital</t>
  </si>
  <si>
    <t>Entorno de alojamiento del proyecto</t>
  </si>
  <si>
    <t>A12</t>
  </si>
  <si>
    <t>Desarrollo seguro e integración continua</t>
  </si>
  <si>
    <t>Código fuente, CI/CD y artefactos de compilación</t>
  </si>
  <si>
    <t>Código, dependencias, configuraciones, pruebas y artefactos usados para construir y evaluar la aplicación segura.</t>
  </si>
  <si>
    <t>Desarrollar, probar, revisar y publicar cambios de software de forma controlada.</t>
  </si>
  <si>
    <t>Repositorio y pipeline de desarrollo</t>
  </si>
  <si>
    <t>A13</t>
  </si>
  <si>
    <t>Gestión de miembros y permisos de salas</t>
  </si>
  <si>
    <t>Datos de autorización</t>
  </si>
  <si>
    <t>Registro de participantes y permisos por sala</t>
  </si>
  <si>
    <t>Datos / configuración</t>
  </si>
  <si>
    <t>Relación entre usuarios, salas y permisos concedidos, incluido el estado de autorización para ingresar y participar.</t>
  </si>
  <si>
    <t>Validar el acceso a cada sala y aplicar el principio de mínimo privilegio.</t>
  </si>
  <si>
    <t>A14</t>
  </si>
  <si>
    <t>Cliente y acceso desde dispositivos</t>
  </si>
  <si>
    <t>Software / dispositivo</t>
  </si>
  <si>
    <t>Aplicación cliente y dispositivo del usuario</t>
  </si>
  <si>
    <t>Software / hardware</t>
  </si>
  <si>
    <t>Interfaz usada por los usuarios para autenticarse, ingresar a salas, intercambiar mensajes y cargar archivos desde un dispositivo.</t>
  </si>
  <si>
    <t>Permitir el uso de la aplicación desde un único dispositivo autorizado por usuario.</t>
  </si>
  <si>
    <t>Digital y físico</t>
  </si>
  <si>
    <t>Dispositivos de usuarios y cliente de chat</t>
  </si>
  <si>
    <t>A15</t>
  </si>
  <si>
    <t>Conexión y terminación de sesiones</t>
  </si>
  <si>
    <t>Servicio de gestión de conexiones y cierre de sesión</t>
  </si>
  <si>
    <t>Componente que mantiene conexiones activas, aplica restricciones de concurrencia y finaliza sesiones de forma segura.</t>
  </si>
  <si>
    <t>Evitar sesiones simultáneas no autorizadas y revocar conexiones al cerrar sesión.</t>
  </si>
  <si>
    <t>Servicio de sesiones y conexiones</t>
  </si>
  <si>
    <t>A16</t>
  </si>
  <si>
    <t>Transporte seguro de comunicaciones</t>
  </si>
  <si>
    <t>Redes / configuración</t>
  </si>
  <si>
    <t>Canales y configuración de transporte cifrado</t>
  </si>
  <si>
    <t>Protocolos, certificados y parámetros que protegen los mensajes y archivos durante su tránsito entre clientes y servicios.</t>
  </si>
  <si>
    <t>Proteger la confidencialidad, integridad y autenticidad de las comunicaciones en tránsito.</t>
  </si>
  <si>
    <t>Canales cliente-servidor y servicios de comunicación</t>
  </si>
  <si>
    <t>A17</t>
  </si>
  <si>
    <t>Carga y transferencia multimedia</t>
  </si>
  <si>
    <t>Software / servicios</t>
  </si>
  <si>
    <t>Servicio de carga y transferencia de archivos</t>
  </si>
  <si>
    <t>Funciones de recepción, transferencia y publicación de archivos multimedia dentro de salas habilitadas.</t>
  </si>
  <si>
    <t>Permitir el intercambio seguro de archivos conforme al tipo de contenido autorizado en cada sala.</t>
  </si>
  <si>
    <t>Servicio de archivos y salas multimedia</t>
  </si>
  <si>
    <t>A18</t>
  </si>
  <si>
    <t>Validación y respuesta ante archivos</t>
  </si>
  <si>
    <t>Configuración / reglas</t>
  </si>
  <si>
    <t>Reglas de validación y política de archivos</t>
  </si>
  <si>
    <t>Configuración / datos</t>
  </si>
  <si>
    <t>Reglas que determinan la validación de archivos y la respuesta ante contenido sospechoso: bloqueo, rechazo o cuarentena.</t>
  </si>
  <si>
    <t>Aplicar criterios consistentes antes de permitir que los archivos se compartan.</t>
  </si>
  <si>
    <t>Módulo de seguridad multimedia</t>
  </si>
  <si>
    <t>A19</t>
  </si>
  <si>
    <t>Aislamiento de contenido sospechoso</t>
  </si>
  <si>
    <t>Datos / almacenamiento</t>
  </si>
  <si>
    <t>Área de cuarentena de archivos sospechosos</t>
  </si>
  <si>
    <t>Espacio aislado para conservar temporalmente archivos bloqueados o pendientes de análisis sin exponerlos a los participantes.</t>
  </si>
  <si>
    <t>Impedir que contenido sospechoso se ejecute, descargue o distribuya antes de su revisión.</t>
  </si>
  <si>
    <t>Almacenamiento aislado del servicio multimedia</t>
  </si>
  <si>
    <t>A20</t>
  </si>
  <si>
    <t>Diseño y verificación de seguridad</t>
  </si>
  <si>
    <t>Documentación / datos</t>
  </si>
  <si>
    <t>Requisitos, modelos de amenazas y evidencias de pruebas</t>
  </si>
  <si>
    <t>Requisitos funcionales y de seguridad, análisis de amenazas, diseño de arquitectura y evidencias de pruebas de seguridad del proyecto.</t>
  </si>
  <si>
    <t>Trazar los riesgos a requisitos, controles y pruebas durante el ciclo de desarrollo seguro.</t>
  </si>
  <si>
    <t>Repositorio técnico y gestión del proyecto</t>
  </si>
  <si>
    <t>Tratamiento de Riesgos</t>
  </si>
  <si>
    <t>Riesgo residual</t>
  </si>
  <si>
    <t>Implementación de Control</t>
  </si>
  <si>
    <t>Impacto</t>
  </si>
  <si>
    <t>controles implementados existentes</t>
  </si>
  <si>
    <t>Cálculo de Evaluación Riesgo</t>
  </si>
  <si>
    <t>Subprocesos</t>
  </si>
  <si>
    <t>Nombre Activo</t>
  </si>
  <si>
    <t>Riesgo</t>
  </si>
  <si>
    <t>CID</t>
  </si>
  <si>
    <t>Nivel de amenaza</t>
  </si>
  <si>
    <t>Madurez del Control CMMI
(Reducción 0-4)</t>
  </si>
  <si>
    <t>Método de tratamiento de Riesgos</t>
  </si>
  <si>
    <t>Tipo de control</t>
  </si>
  <si>
    <t>Controles a Implementar</t>
  </si>
  <si>
    <t>Cálculo de Evaluación Riesgo con el  control implementado</t>
  </si>
  <si>
    <t>Fecha Inicio implementación</t>
  </si>
  <si>
    <t>Fecha de verificación</t>
  </si>
  <si>
    <t>Responsable</t>
  </si>
  <si>
    <t>Observación</t>
  </si>
  <si>
    <t>Robo, reutilización o adivinación de credenciales que permite suplantar una cuenta privilegiada o de usuario.</t>
  </si>
  <si>
    <t>La autenticación puede depender de secretos reutilizables; la falta de MFA, limitación de intentos y almacenamiento resistente a ataques offline facilita la suplantación.</t>
  </si>
  <si>
    <t>Suplantación de usuarios o administrador, acceso a salas, exposición de mensajes y cambios no autorizados en la configuración.</t>
  </si>
  <si>
    <t>Sin controles implementados en la etapa de diseño.</t>
  </si>
  <si>
    <t>Exigir MFA a administradores; almacenar contraseñas con Argon2id o bcrypt y salt único; limitar intentos; proteger recuperación y separar privilegios.</t>
  </si>
  <si>
    <t>Seguridad y Desarrollo configurarán MFA, hashing y limitación de intentos. Evidencia: parámetros de autenticación y pruebas contra fuerza bruta y contraseñas almacenadas. Frecuencia: cada versión y revisión mensual.</t>
  </si>
  <si>
    <t>Responsable de Seguridad Informática y líder de Desarrollo</t>
  </si>
  <si>
    <t>CMMI=0 hasta acreditar controles existentes. Riesgo residual objetivo sujeto a implementar y probar las salvaguardas. Fechas sugeridas; falta asignar nombre al responsable.</t>
  </si>
  <si>
    <t>Adivinación, divulgación o uso no autorizado de la clave de una sala para ingresar, alterar su configuración o exceder el aforo.</t>
  </si>
  <si>
    <t>Claves de sala de baja entropía, exposición de secretos o validaciones de acceso y aforo solo en el cliente permiten ingresos o cambios indebidos.</t>
  </si>
  <si>
    <t>Ingreso de participantes no autorizados, acceso a contenido privado, alteración del aforo o interrupción de una sala.</t>
  </si>
  <si>
    <t>Generar identificadores y claves con aleatoriedad criptográfica; guardar las claves de forma segura; validar sala, permisos y aforo en servidor; limitar intentos.</t>
  </si>
  <si>
    <t>Desarrollo generará claves robustas y verificará acceso/aforo en servidor; QA probará adivinación, acceso cruzado y exceso de participantes. Evidencia: pruebas negativas y revisión del flujo. Frecuencia: cada cambio de salas.</t>
  </si>
  <si>
    <t>Líder de Desarrollo y responsable de Pruebas</t>
  </si>
  <si>
    <t>Exposición, robo o uso de claves criptográficas débiles o comprometidas para descifrar o falsificar comunicaciones.</t>
  </si>
  <si>
    <t>Generación, distribución, almacenamiento, rotación o revocación insegura de claves puede permitir su exposición o reutilización.</t>
  </si>
  <si>
    <t>Pérdida de confidencialidad y autenticidad de mensajes, suplantación de participantes y necesidad de invalidar sesiones o claves.</t>
  </si>
  <si>
    <t>Usar biblioteca criptográfica mantenida, gestor de claves, separación de ambientes, rotación y revocación; restringir quién puede operar secretos.</t>
  </si>
  <si>
    <t>Seguridad definirá el ciclo de vida de claves y Desarrollo integrará el gestor de secretos. Evidencia: configuración, rotación y prueba de revocación. Frecuencia: por versión, rotación según política y revisión trimestral.</t>
  </si>
  <si>
    <t>Responsable de Seguridad Informática y administrador de plataforma</t>
  </si>
  <si>
    <t>Intercepción, modificación, repetición o suplantación de mensajes durante el intercambio entre participantes.</t>
  </si>
  <si>
    <t>Un protocolo sin cifrado autenticado, protección anti-repetición y validación del emisor deja mensajes expuestos a lectura o manipulación.</t>
  </si>
  <si>
    <t>Divulgación o alteración de conversaciones, mensajes atribuidos falsamente y pérdida de confianza en el canal.</t>
  </si>
  <si>
    <t>Proteger el canal con TLS y cifrado autenticado; validar emisor e integridad; usar nonces/secuencia anti-repetición y evitar registrar texto plano.</t>
  </si>
  <si>
    <t>Desarrollo configurará el canal y protección anti-repetición; QA probará lectura, modificación y reenvío de mensajes. Evidencia: configuración criptográfica y resultados de pruebas. Frecuencia: cada versión y revisión de protocolo.</t>
  </si>
  <si>
    <t>Líder de Desarrollo y responsable de Seguridad</t>
  </si>
  <si>
    <t>Robo o reutilización de tokens, secuestro de sesión o apertura de sesiones simultáneas desde varios dispositivos.</t>
  </si>
  <si>
    <t>La asociación del dispositivo puede ser solo del lado del cliente; tokens sin rotación ni revocación permiten duplicar o secuestrar una sesión.</t>
  </si>
  <si>
    <t>Acceso a conversaciones desde otro dispositivo, elusión de la restricción de una conexión y uso persistente de una cuenta comprometida.</t>
  </si>
  <si>
    <t>Aplicar control de una sesión por usuario en servidor; vincular token a sesión/dispositivo; rotar y revocar tokens; cerrar sesiones de forma segura.</t>
  </si>
  <si>
    <t>Backend aplicará sesión única, rotación y revocación; QA verificará segundo dispositivo, expiración y cierre. Evidencia: pruebas de sesión y eventos de auditoría. Frecuencia: cada versión y prueba trimestral.</t>
  </si>
  <si>
    <t>Desarrollador backend y responsable de Pruebas</t>
  </si>
  <si>
    <t>Acceso no autorizado, abuso de funciones, explotación de fallos de API o saturación de los servicios de chat.</t>
  </si>
  <si>
    <t>Controles de autorización por recurso, validación de entradas, límites de uso y pruebas de seguridad insuficientes exponen funciones del backend.</t>
  </si>
  <si>
    <t>Lectura o modificación de datos, escalamiento de privilegios o indisponibilidad de salas y comunicaciones.</t>
  </si>
  <si>
    <t>Autorizar cada solicitud y recurso; aplicar mínimo privilegio, validación de esquemas, límites de tasa y pruebas SAST/DAST y de autorización.</t>
  </si>
  <si>
    <t>Desarrollo aplicará autorización por recurso y límites; Seguridad integrará análisis estático/dinámico al pipeline. Evidencia: resultados, correcciones y aprobación de liberación. Frecuencia: cada cambio y cada versión.</t>
  </si>
  <si>
    <t>Lectura, modificación, eliminación o cifrado no autorizado de datos almacenados en la base del sistema.</t>
  </si>
  <si>
    <t>Consultas no parametrizadas, privilegios excesivos, cifrado insuficiente o respaldos sin protección permiten comprometer datos persistentes.</t>
  </si>
  <si>
    <t>Exposición de cuentas, mensajes o configuración; pérdida de datos e imposibilidad de restaurar el servicio.</t>
  </si>
  <si>
    <t>Usar consultas parametrizadas, roles mínimos, cifrado en reposo, respaldos protegidos e inmutables y pruebas periódicas de restauración.</t>
  </si>
  <si>
    <t>DBA/Desarrollo aplicarán roles mínimos, consultas parametrizadas y respaldos; Operaciones probará restauración. Evidencia: revisión de permisos, pruebas de consultas y acta de restauración. Frecuencia: cada versión y prueba trimestral.</t>
  </si>
  <si>
    <t>Administrador de base de datos y Operaciones</t>
  </si>
  <si>
    <t>Carga de archivos maliciosos, manipulados o con contenido oculto que comprometen la aplicación o a los usuarios.</t>
  </si>
  <si>
    <t>Validar solo la extensión o el MIME declarado, permitir archivos grandes o publicarlos antes de analizarlos expone a contenido malicioso.</t>
  </si>
  <si>
    <t>Infección de clientes o servidores, exposición de archivos, distribución de contenido manipulado y afectación de disponibilidad.</t>
  </si>
  <si>
    <t>Permitir formatos definidos; validar firma real y tamaño; renombrar y almacenar fuera del sitio público; analizar y poner en cuarentena antes de liberar.</t>
  </si>
  <si>
    <t>Desarrollo limitará formatos/tamaño y aislará almacenamiento; QA probará archivos malformados y descargas. Evidencia: lista permitida, resultado de análisis y prueba de cuarentena. Frecuencia: cada archivo y cada versión.</t>
  </si>
  <si>
    <t>Evasión del análisis de esteganografía o explotación del procesador de archivos para evitar la política de bloqueo.</t>
  </si>
  <si>
    <t>El motor de análisis puede tener falsos negativos, firmas desactualizadas o procesar archivos sin aislamiento ni límites de recursos.</t>
  </si>
  <si>
    <t>Compartición de contenido esteganográfico o malicioso, ejecución de fallos en el analizador y omisión de alertas o cuarentena.</t>
  </si>
  <si>
    <t>Ejecutar el análisis en sandbox con límites; actualizar firmas y reglas; aplicar bloqueo/cuarentena ante detección o error y registrar la decisión.</t>
  </si>
  <si>
    <t>Seguridad mantendrá reglas de detección y política de rechazo/cuarentena; Desarrollo aislará el procesador; QA probará muestras benignas y sospechosas. Evidencia: alertas, decisión y registro. Frecuencia: cada carga y revisión mensual de reglas.</t>
  </si>
  <si>
    <t>Responsable de Seguridad y desarrollador del analizador</t>
  </si>
  <si>
    <t>Alteración o borrado de eventos para ocultar accesos, cambios, sesiones abusivas o archivos bloqueados.</t>
  </si>
  <si>
    <t>Registros modificables, secretos incluidos en mensajes de log y alertas sin monitoreo reducen la confiabilidad de la evidencia.</t>
  </si>
  <si>
    <t>Investigación incompleta, demora en detectar incidentes y falta de evidencia fiable para reconstruir lo ocurrido.</t>
  </si>
  <si>
    <t>Centralizar registros con protección contra alteración; excluir secretos; restringir acceso; alertar por eventos anómalos y definir retención.</t>
  </si>
  <si>
    <t>Operaciones centralizará logs y configurará alertas; Seguridad revisará eventos y accesos al repositorio. Evidencia: configuración, alertas de prueba y registro de revisión. Frecuencia: monitoreo continuo y revisión semanal.</t>
  </si>
  <si>
    <t>Operaciones y responsable de Seguridad Informática</t>
  </si>
  <si>
    <t>Denegación de servicio, intrusión o interrupción de red y servidores que impide conectarse a las salas.</t>
  </si>
  <si>
    <t>Segmentación, endurecimiento, protección frente a tráfico abusivo, monitoreo o redundancia insuficientes aumentan el impacto de una falla.</t>
  </si>
  <si>
    <t>Interrupción general del chat, conexiones cortadas y pérdida temporal de acceso a mensajes o archivos.</t>
  </si>
  <si>
    <t>Segmentar servicios, endurecer y parchear servidores, filtrar tráfico, proteger contra denegación de servicio y monitorear disponibilidad y recuperación.</t>
  </si>
  <si>
    <t>Infraestructura aplicará segmentación, parches, filtros y monitoreo; Operaciones probará recuperación. Evidencia: línea base, inventario, métricas y ejercicio de continuidad. Frecuencia: revisión mensual y prueba trimestral.</t>
  </si>
  <si>
    <t>Administrador de infraestructura y Operaciones</t>
  </si>
  <si>
    <t>Introducción de código vulnerable, dependencia comprometida o artefacto malicioso durante el desarrollo o la compilación.</t>
  </si>
  <si>
    <t>Permisos amplios del pipeline, dependencias sin revisión, secretos expuestos o ausencia de análisis automatizado permiten introducir cambios inseguros.</t>
  </si>
  <si>
    <t>Vulnerabilidades en producción, filtración de secretos, compromiso de versiones y pérdida de integridad del producto.</t>
  </si>
  <si>
    <t>Proteger ramas y pipeline; revisar cambios; ejecutar SAST, SCA, escaneo de secretos y pruebas; generar SBOM y firmar artefactos de liberación.</t>
  </si>
  <si>
    <t>Líder de Desarrollo protegerá repositorio/pipeline; el equipo integrará análisis y revisión obligatoria. Evidencia: configuración CI, SBOM, firmas y reportes de escaneo. Frecuencia: cada commit y liberación.</t>
  </si>
  <si>
    <t>Líder de Desarrollo y responsable de Seguridad Informática</t>
  </si>
  <si>
    <t>Manipulación de solicitudes de ingreso para participar en una sala sin autorización o con permisos superiores a los concedidos.</t>
  </si>
  <si>
    <t>Las reglas de autorización pueden ejecutarse solo en el cliente, no validar la pertenencia a la sala en cada solicitud o no comprobar el permiso específico de la acción.</t>
  </si>
  <si>
    <t>Ingreso de personas no autorizadas, exposición de mensajes y cambios indebidos en la sala.</t>
  </si>
  <si>
    <t>Implementar autorización del lado del servidor en cada acción; validar usuario, sala, estado y permiso; denegar por defecto; probar accesos directos y escalamiento de privilegios.</t>
  </si>
  <si>
    <t>Líder de Desarrollo y Seguridad implementarán los controles propuestos para registro de participantes y permisos por sala. Evidencia: configuración, pruebas negativas y revisión de cambios. Frecuencia: cada versión y antes de liberar.</t>
  </si>
  <si>
    <t>CMMI se mantiene en 0 porque el proyecto está en etapa de diseño/desarrollo y el documento no evidencia controles ya implementados. El riesgo residual es un objetivo condicionado a implementar y probar los controles. Responsable por rol propuesto; asignar persona.</t>
  </si>
  <si>
    <t>Compromiso, manipulación o uso de un cliente alterado para robar credenciales, suplantar al usuario o evadir controles de acceso.</t>
  </si>
  <si>
    <t>El cliente puede almacenar secretos en texto claro, confiar en validaciones locales o carecer de protección de sesión y transporte.</t>
  </si>
  <si>
    <t>Suplantación de usuarios, extracción de información y solicitudes no confiables al backend.</t>
  </si>
  <si>
    <t>No confiar en controles del cliente; proteger almacenamiento local; validar solicitudes en el servidor; usar comunicaciones cifradas; revisar dependencias y ejecutar pruebas del cliente.</t>
  </si>
  <si>
    <t>Líder de Desarrollo y Seguridad implementarán los controles propuestos para aplicación cliente y dispositivo del usuario. Evidencia: configuración, pruebas negativas y revisión de cambios. Frecuencia: cada versión y antes de liberar.</t>
  </si>
  <si>
    <t>Reutilización de una sesión abandonada o apertura de conexiones paralelas tras el cierre aparente de sesión.</t>
  </si>
  <si>
    <t>Tokens pueden seguir vigentes después del cierre; la revocación puede no propagarse a todas las conexiones o dispositivos.</t>
  </si>
  <si>
    <t>Acceso persistente no autorizado y exposición de mensajes después de cerrar sesión.</t>
  </si>
  <si>
    <t>Revocar tokens al cerrar sesión; invalidar conexiones activas; aplicar expiración y rotación; probar revocación, reconexión y concurrencia entre dispositivos.</t>
  </si>
  <si>
    <t>Líder de Desarrollo y Seguridad implementarán los controles propuestos para servicio de gestión de conexiones y cierre de sesión. Evidencia: configuración, pruebas negativas y revisión de cambios. Frecuencia: cada versión y antes de liberar.</t>
  </si>
  <si>
    <t>Intercepción, modificación o repetición de mensajes y archivos durante su tránsito.</t>
  </si>
  <si>
    <t>Configuración criptográfica débil, validación insuficiente de certificados o ausencia de protección contra repetición permite ataques de intermediario.</t>
  </si>
  <si>
    <t>Divulgación o alteración de comunicaciones y pérdida de autenticidad entre usuarios.</t>
  </si>
  <si>
    <t>Usar protocolos TLS vigentes y configuración segura; validar certificados; proteger integridad y autenticidad; incorporar nonces o secuencias cuando corresponda; probar configuración y resistencia a repetición.</t>
  </si>
  <si>
    <t>Líder de Desarrollo y Seguridad implementarán los controles propuestos para canales y configuración de transporte cifrado. Evidencia: configuración, pruebas negativas y revisión de cambios. Frecuencia: cada versión y antes de liberar.</t>
  </si>
  <si>
    <t>Responsable de Seguridad Informática y administrador de Operaciones</t>
  </si>
  <si>
    <t>Carga de archivos maliciosos, excesivos o no autorizados que explotan el proceso de recepción o distribución.</t>
  </si>
  <si>
    <t>Validación incompleta de tipo, tamaño y contenido, controles solo en el cliente o exposición del archivo antes de completar el análisis.</t>
  </si>
  <si>
    <t>Ejecución de contenido malicioso, indisponibilidad del servicio o distribución de archivos peligrosos a los usuarios.</t>
  </si>
  <si>
    <t>Aplicar límites de tamaño y tipos permitidos; validar en servidor; almacenar fuera de rutas ejecutables; analizar antes de publicar; probar archivos inválidos y de gran tamaño.</t>
  </si>
  <si>
    <t>Líder de Desarrollo y Seguridad implementarán los controles propuestos para servicio de carga y transferencia de archivos. Evidencia: configuración, pruebas negativas y revisión de cambios. Frecuencia: cada versión y antes de liberar.</t>
  </si>
  <si>
    <t>Cambio no autorizado o error en las reglas que permite compartir archivos sospechosos sin análisis o tratamiento definido.</t>
  </si>
  <si>
    <t>Políticas sin control de cambios, reglas ambiguas o falta de pruebas de correspondencia entre detección y bloqueo, rechazo o cuarentena.</t>
  </si>
  <si>
    <t>Contenido manipulado disponible en salas y aplicación inconsistente de la política de seguridad.</t>
  </si>
  <si>
    <t>Versionar y restringir cambios de política; documentar decisiones; mapear resultados del análisis a acciones explícitas; probar casos permitidos, sospechosos y no concluyentes.</t>
  </si>
  <si>
    <t>Líder de Desarrollo y Seguridad implementarán los controles propuestos para reglas de validación y política de archivos. Evidencia: configuración, pruebas negativas y revisión de cambios. Frecuencia: cada versión y antes de liberar.</t>
  </si>
  <si>
    <t>Acceso, descarga o distribución de archivos retenidos para análisis.</t>
  </si>
  <si>
    <t>La cuarentena puede compartir permisos con el almacenamiento público, no separar identificadores o conservar archivos indefinidamente sin controles.</t>
  </si>
  <si>
    <t>Propagación de contenido malicioso, fuga de información o exposición de archivos de usuarios.</t>
  </si>
  <si>
    <t>Aislar almacenamiento; impedir acceso de clientes; cifrar archivos; restringir lectura a roles de seguridad; auditar accesos y aplicar retención y eliminación controladas.</t>
  </si>
  <si>
    <t>Líder de Desarrollo y Seguridad implementarán los controles propuestos para área de cuarentena de archivos sospechosos. Evidencia: configuración, pruebas negativas y revisión de cambios. Frecuencia: cada versión y antes de liberar.</t>
  </si>
  <si>
    <t>Administrador de Base de Datos y responsable de Seguridad Informática</t>
  </si>
  <si>
    <t>Omisión, alteración o pérdida de requisitos y resultados que sustentan decisiones y verificaciones de seguridad.</t>
  </si>
  <si>
    <t>Trazabilidad incompleta entre riesgos, requisitos, controles y pruebas; documentación sin control de versiones o evidencias no reproducibles.</t>
  </si>
  <si>
    <t>Controles críticos no implementados o no verificados y dificultad para demostrar la seguridad del producto.</t>
  </si>
  <si>
    <t>Mantener trazabilidad versionada de riesgo-requisito-control-prueba; revisar cambios; conservar resultados reproducibles y aprobar formalmente excepciones antes de liberar.</t>
  </si>
  <si>
    <t>Líder de Desarrollo y Seguridad implementarán los controles propuestos para requisitos, modelos de amenazas y evidencias de pruebas. Evidencia: configuración, pruebas negativas y revisión de cambios. Frecuencia: cada versión y antes de liberar.</t>
  </si>
  <si>
    <t>Diana Guerra_MontufarAlejandro_MorenoPaul_LeonelTipan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</si>
</sst>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Red]0.00"/>
    <numFmt numFmtId="165" formatCode="yyyy\-mm\-dd"/>
  </numFmts>
  <fonts count="18" x14ac:knownFonts="1">
    <font>
      <sz val="10"/>
      <name val="Arial"/>
    </font>
    <font>
      <sz val="10"/>
      <name val="Arial"/>
      <family val="2"/>
    </font>
    <font>
      <u/>
      <sz val="10"/>
      <color theme="10"/>
      <name val="Arial"/>
      <family val="2"/>
    </font>
    <font>
      <sz val="8"/>
      <name val="Arial"/>
      <family val="2"/>
    </font>
    <font>
      <b/>
      <sz val="8"/>
      <name val="Arial"/>
      <family val="2"/>
    </font>
    <font>
      <sz val="8"/>
      <color theme="1"/>
      <name val="Arial"/>
      <family val="2"/>
    </font>
    <font>
      <b/>
      <sz val="12"/>
      <color theme="1"/>
      <name val="Arial"/>
      <family val="2"/>
    </font>
    <font>
      <b/>
      <sz val="8"/>
      <name val="Calibri"/>
      <family val="2"/>
      <scheme val="minor"/>
    </font>
    <font>
      <sz val="8"/>
      <name val="Calibri"/>
      <family val="2"/>
      <scheme val="minor"/>
    </font>
    <font>
      <sz val="9"/>
      <name val="Calibri"/>
      <family val="2"/>
      <scheme val="minor"/>
    </font>
    <font>
      <b/>
      <sz val="9"/>
      <name val="Calibri"/>
      <family val="2"/>
      <scheme val="minor"/>
    </font>
    <font>
      <b/>
      <sz val="8"/>
      <color theme="0"/>
      <name val="Calibri"/>
      <family val="2"/>
      <scheme val="minor"/>
    </font>
    <font>
      <b/>
      <sz val="12"/>
      <name val="Calibri"/>
      <family val="2"/>
      <scheme val="minor"/>
    </font>
    <font>
      <sz val="9"/>
      <color rgb="FFFF0000"/>
      <name val="Calibri"/>
      <family val="2"/>
      <scheme val="minor"/>
    </font>
    <font>
      <sz val="8"/>
      <color theme="0"/>
      <name val="Calibri"/>
      <family val="2"/>
      <scheme val="minor"/>
    </font>
    <font>
      <b/>
      <sz val="8"/>
      <color theme="0"/>
      <name val="Arial"/>
      <family val="2"/>
    </font>
    <font>
      <b/>
      <sz val="9"/>
      <color theme="0"/>
      <name val="Calibri"/>
      <family val="2"/>
      <scheme val="minor"/>
    </font>
    <font>
      <sz val="8"/>
      <color theme="0"/>
      <name val="Arial"/>
      <family val="2"/>
    </font>
  </fonts>
  <fills count="15">
    <fill>
      <patternFill patternType="none"/>
    </fill>
    <fill>
      <patternFill patternType="gray125"/>
    </fill>
    <fill>
      <patternFill patternType="solid">
        <fgColor rgb="FF92D050"/>
      </patternFill>
    </fill>
    <fill>
      <patternFill patternType="solid">
        <fgColor theme="4" tint="0.79995117038483843"/>
        <bgColor indexed="65"/>
      </patternFill>
    </fill>
    <fill>
      <patternFill patternType="solid">
        <fgColor rgb="FFFFC000"/>
      </patternFill>
    </fill>
    <fill>
      <patternFill patternType="solid">
        <fgColor rgb="FFF93B07"/>
      </patternFill>
    </fill>
    <fill>
      <patternFill patternType="solid">
        <fgColor theme="6" tint="0.59996337778862885"/>
        <bgColor indexed="65"/>
      </patternFill>
    </fill>
    <fill>
      <patternFill patternType="solid">
        <fgColor rgb="FFC00000"/>
      </patternFill>
    </fill>
    <fill>
      <patternFill patternType="solid">
        <fgColor theme="0" tint="-0.14999847407452621"/>
        <bgColor indexed="65"/>
      </patternFill>
    </fill>
    <fill>
      <patternFill patternType="solid">
        <fgColor theme="6" tint="0.39997558519241921"/>
        <bgColor indexed="65"/>
      </patternFill>
    </fill>
    <fill>
      <patternFill patternType="solid">
        <fgColor theme="6" tint="0.79995117038483843"/>
        <bgColor indexed="65"/>
      </patternFill>
    </fill>
    <fill>
      <patternFill patternType="solid">
        <fgColor theme="6" tint="-0.49995422223578601"/>
        <bgColor indexed="65"/>
      </patternFill>
    </fill>
    <fill>
      <patternFill patternType="solid">
        <fgColor theme="1"/>
      </patternFill>
    </fill>
    <fill>
      <patternFill patternType="solid">
        <fgColor theme="1" tint="0.34998626667073579"/>
        <bgColor indexed="65"/>
      </patternFill>
    </fill>
    <fill>
      <patternFill patternType="solid">
        <fgColor theme="0" tint="-0.49995422223578601"/>
        <bgColor indexed="65"/>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6" tint="-0.24994659260841701"/>
      </left>
      <right/>
      <top style="thin">
        <color theme="6" tint="-0.24994659260841701"/>
      </top>
      <bottom style="thin">
        <color theme="6" tint="-0.24994659260841701"/>
      </bottom>
      <diagonal/>
    </border>
    <border>
      <left/>
      <right/>
      <top style="thin">
        <color theme="6" tint="-0.24994659260841701"/>
      </top>
      <bottom style="thin">
        <color theme="6" tint="-0.24994659260841701"/>
      </bottom>
      <diagonal/>
    </border>
    <border>
      <left style="thin">
        <color theme="6" tint="-0.24994659260841701"/>
      </left>
      <right style="thin">
        <color theme="6" tint="-0.24994659260841701"/>
      </right>
      <top style="thin">
        <color theme="6" tint="-0.24994659260841701"/>
      </top>
      <bottom style="thin">
        <color theme="6" tint="-0.24994659260841701"/>
      </bottom>
      <diagonal/>
    </border>
    <border>
      <left style="thin">
        <color theme="6" tint="-0.24994659260841701"/>
      </left>
      <right/>
      <top/>
      <bottom style="thin">
        <color theme="6" tint="-0.24994659260841701"/>
      </bottom>
      <diagonal/>
    </border>
    <border>
      <left/>
      <right/>
      <top/>
      <bottom style="thin">
        <color theme="6" tint="-0.24994659260841701"/>
      </bottom>
      <diagonal/>
    </border>
    <border>
      <left style="thin">
        <color theme="4" tint="-0.24994659260841701"/>
      </left>
      <right style="thin">
        <color theme="4" tint="-0.24994659260841701"/>
      </right>
      <top/>
      <bottom/>
      <diagonal/>
    </border>
    <border>
      <left style="thin">
        <color theme="4" tint="-0.24994659260841701"/>
      </left>
      <right style="thin">
        <color theme="4" tint="-0.24994659260841701"/>
      </right>
      <top style="thin">
        <color theme="4" tint="-0.24994659260841701"/>
      </top>
      <bottom/>
      <diagonal/>
    </border>
    <border>
      <left style="thin">
        <color theme="4" tint="-0.24994659260841701"/>
      </left>
      <right style="thin">
        <color theme="4" tint="-0.24994659260841701"/>
      </right>
      <top/>
      <bottom style="thin">
        <color theme="4" tint="-0.24994659260841701"/>
      </bottom>
      <diagonal/>
    </border>
    <border>
      <left/>
      <right style="thin">
        <color theme="4" tint="-0.24994659260841701"/>
      </right>
      <top style="thin">
        <color theme="4" tint="-0.24994659260841701"/>
      </top>
      <bottom style="thin">
        <color theme="4" tint="-0.24994659260841701"/>
      </bottom>
      <diagonal/>
    </border>
    <border>
      <left style="thin">
        <color theme="4" tint="-0.24994659260841701"/>
      </left>
      <right/>
      <top style="thin">
        <color theme="4" tint="-0.24994659260841701"/>
      </top>
      <bottom style="thin">
        <color theme="4" tint="-0.24994659260841701"/>
      </bottom>
      <diagonal/>
    </border>
    <border>
      <left style="thin">
        <color theme="4" tint="-0.24994659260841701"/>
      </left>
      <right style="thin">
        <color theme="4" tint="-0.24994659260841701"/>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right/>
      <top style="thin">
        <color theme="4" tint="-0.24994659260841701"/>
      </top>
      <bottom/>
      <diagonal/>
    </border>
    <border>
      <left/>
      <right style="thin">
        <color theme="4" tint="-0.24994659260841701"/>
      </right>
      <top style="thin">
        <color theme="4" tint="-0.24994659260841701"/>
      </top>
      <bottom/>
      <diagonal/>
    </border>
    <border>
      <left/>
      <right/>
      <top style="thin">
        <color theme="4" tint="-0.24994659260841701"/>
      </top>
      <bottom style="thin">
        <color theme="4" tint="-0.24994659260841701"/>
      </bottom>
      <diagonal/>
    </border>
    <border>
      <left style="thin">
        <color theme="4" tint="-0.24994659260841701"/>
      </left>
      <right style="thin">
        <color theme="4" tint="-0.24994659260841701"/>
      </right>
      <top style="thin">
        <color theme="4" tint="-0.24994659260841701"/>
      </top>
      <bottom style="thin">
        <color indexed="64"/>
      </bottom>
      <diagonal/>
    </border>
    <border>
      <left style="thin">
        <color theme="4" tint="-0.24994659260841701"/>
      </left>
      <right style="thin">
        <color theme="4" tint="-0.24994659260841701"/>
      </right>
      <top style="thin">
        <color indexed="64"/>
      </top>
      <bottom style="thin">
        <color theme="4" tint="-0.24994659260841701"/>
      </bottom>
      <diagonal/>
    </border>
    <border>
      <left/>
      <right style="thin">
        <color indexed="64"/>
      </right>
      <top/>
      <bottom style="thin">
        <color indexed="64"/>
      </bottom>
      <diagonal/>
    </border>
    <border>
      <left/>
      <right style="thin">
        <color theme="4" tint="-0.24994659260841701"/>
      </right>
      <top/>
      <bottom/>
      <diagonal/>
    </border>
    <border>
      <left/>
      <right style="thin">
        <color theme="4" tint="-0.24994659260841701"/>
      </right>
      <top/>
      <bottom style="thin">
        <color theme="4" tint="-0.24994659260841701"/>
      </bottom>
      <diagonal/>
    </border>
    <border>
      <left style="thin">
        <color theme="4" tint="-0.24994659260841701"/>
      </left>
      <right/>
      <top/>
      <bottom style="thin">
        <color theme="4" tint="-0.24994659260841701"/>
      </bottom>
      <diagonal/>
    </border>
    <border>
      <left/>
      <right/>
      <top/>
      <bottom style="thin">
        <color theme="4" tint="-0.24994659260841701"/>
      </bottom>
      <diagonal/>
    </border>
  </borders>
  <cellStyleXfs count="3">
    <xf numFmtId="0" fontId="0" fillId="0" borderId="0"/>
    <xf numFmtId="0" fontId="2" fillId="0" borderId="0"/>
    <xf numFmtId="0" fontId="1" fillId="0" borderId="0"/>
  </cellStyleXfs>
  <cellXfs count="145">
    <xf numFmtId="0" fontId="0" fillId="0" borderId="0" xfId="0"/>
    <xf numFmtId="0" fontId="1" fillId="0" borderId="0" xfId="0" applyFont="1"/>
    <xf numFmtId="0" fontId="3" fillId="0" borderId="0" xfId="0" applyFont="1"/>
    <xf numFmtId="0" fontId="3" fillId="0" borderId="0" xfId="0" applyFont="1" applyAlignment="1">
      <alignment wrapText="1"/>
    </xf>
    <xf numFmtId="0" fontId="3" fillId="0" borderId="0" xfId="0" applyFont="1" applyAlignment="1">
      <alignment horizontal="center"/>
    </xf>
    <xf numFmtId="0" fontId="0" fillId="0" borderId="0" xfId="0" applyAlignment="1">
      <alignment horizontal="center" vertical="center"/>
    </xf>
    <xf numFmtId="0" fontId="5" fillId="0" borderId="8" xfId="0" applyFont="1" applyBorder="1" applyAlignment="1">
      <alignment horizontal="center" vertical="center" wrapText="1"/>
    </xf>
    <xf numFmtId="0" fontId="5" fillId="0" borderId="8" xfId="0" applyFont="1" applyBorder="1" applyAlignment="1">
      <alignment horizontal="left" vertical="center" wrapText="1"/>
    </xf>
    <xf numFmtId="164" fontId="0" fillId="0" borderId="0" xfId="0" applyNumberFormat="1"/>
    <xf numFmtId="0" fontId="8" fillId="0" borderId="1" xfId="0" applyFont="1" applyBorder="1"/>
    <xf numFmtId="0" fontId="8" fillId="0" borderId="0" xfId="0" applyFont="1"/>
    <xf numFmtId="0" fontId="8" fillId="0" borderId="1" xfId="0" applyFont="1" applyBorder="1" applyAlignment="1">
      <alignment vertical="center"/>
    </xf>
    <xf numFmtId="0" fontId="8" fillId="0" borderId="1" xfId="0" applyFont="1" applyBorder="1" applyAlignment="1">
      <alignment vertical="center" wrapText="1"/>
    </xf>
    <xf numFmtId="0" fontId="7" fillId="2" borderId="1" xfId="0" applyFont="1" applyFill="1" applyBorder="1"/>
    <xf numFmtId="0" fontId="7" fillId="4" borderId="1" xfId="0" applyFont="1" applyFill="1" applyBorder="1"/>
    <xf numFmtId="0" fontId="8" fillId="2" borderId="1" xfId="0" applyFont="1" applyFill="1" applyBorder="1"/>
    <xf numFmtId="0" fontId="8" fillId="4" borderId="1" xfId="0" applyFont="1" applyFill="1" applyBorder="1"/>
    <xf numFmtId="0" fontId="8" fillId="5" borderId="1" xfId="0" applyFont="1" applyFill="1" applyBorder="1"/>
    <xf numFmtId="0" fontId="11" fillId="7" borderId="1" xfId="0" applyFont="1" applyFill="1" applyBorder="1"/>
    <xf numFmtId="0" fontId="8" fillId="0" borderId="5" xfId="0" applyFont="1" applyBorder="1" applyAlignment="1">
      <alignment horizontal="center" vertical="center"/>
    </xf>
    <xf numFmtId="0" fontId="8" fillId="0" borderId="5" xfId="0" applyFont="1" applyBorder="1" applyAlignment="1">
      <alignment vertical="center"/>
    </xf>
    <xf numFmtId="0" fontId="8" fillId="0" borderId="5" xfId="0" applyFont="1" applyBorder="1" applyAlignment="1">
      <alignment vertical="center" wrapText="1"/>
    </xf>
    <xf numFmtId="0" fontId="8" fillId="0" borderId="5" xfId="0" applyFont="1" applyBorder="1" applyAlignment="1">
      <alignment horizontal="center" vertical="center" wrapText="1"/>
    </xf>
    <xf numFmtId="0" fontId="9" fillId="0" borderId="1" xfId="0" applyFont="1" applyBorder="1" applyAlignment="1">
      <alignment vertical="center" wrapText="1"/>
    </xf>
    <xf numFmtId="0" fontId="7" fillId="6" borderId="1" xfId="0" applyFont="1" applyFill="1" applyBorder="1" applyAlignment="1">
      <alignment horizontal="center" vertical="center"/>
    </xf>
    <xf numFmtId="0" fontId="8" fillId="0" borderId="0" xfId="0" applyFont="1" applyAlignment="1">
      <alignment vertical="center"/>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11" borderId="5" xfId="0" applyFont="1" applyFill="1" applyBorder="1" applyAlignment="1">
      <alignment vertical="center" wrapText="1"/>
    </xf>
    <xf numFmtId="0" fontId="7" fillId="11" borderId="5" xfId="0" applyFont="1" applyFill="1" applyBorder="1" applyAlignment="1">
      <alignment horizontal="center" vertical="center" wrapText="1"/>
    </xf>
    <xf numFmtId="0" fontId="8" fillId="0" borderId="0" xfId="0" applyFont="1" applyAlignment="1">
      <alignment horizontal="center" vertical="center"/>
    </xf>
    <xf numFmtId="2" fontId="8" fillId="0" borderId="1" xfId="0" applyNumberFormat="1" applyFont="1" applyBorder="1" applyAlignment="1">
      <alignment horizontal="center" vertical="center"/>
    </xf>
    <xf numFmtId="2" fontId="8" fillId="0" borderId="1" xfId="0" applyNumberFormat="1" applyFont="1" applyBorder="1" applyAlignment="1">
      <alignment vertical="center"/>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14" xfId="0" applyFont="1" applyBorder="1" applyAlignment="1">
      <alignment horizontal="center" vertical="center"/>
    </xf>
    <xf numFmtId="0" fontId="8" fillId="0" borderId="5" xfId="0" applyFont="1" applyBorder="1"/>
    <xf numFmtId="0" fontId="8" fillId="0" borderId="13" xfId="0" applyFont="1" applyBorder="1" applyAlignment="1">
      <alignment horizontal="center" vertical="center" wrapText="1"/>
    </xf>
    <xf numFmtId="0" fontId="8" fillId="0" borderId="13" xfId="0" applyFont="1" applyBorder="1" applyAlignment="1">
      <alignment vertical="center" wrapText="1"/>
    </xf>
    <xf numFmtId="2" fontId="8" fillId="0" borderId="5" xfId="0" applyNumberFormat="1" applyFont="1" applyBorder="1" applyAlignment="1">
      <alignment horizontal="center" vertical="center"/>
    </xf>
    <xf numFmtId="2" fontId="8" fillId="0" borderId="5" xfId="0" applyNumberFormat="1" applyFont="1" applyBorder="1" applyAlignment="1">
      <alignment vertical="center"/>
    </xf>
    <xf numFmtId="0" fontId="8" fillId="0" borderId="5" xfId="0" applyFont="1" applyBorder="1" applyAlignment="1">
      <alignment wrapText="1"/>
    </xf>
    <xf numFmtId="0" fontId="15" fillId="13" borderId="8" xfId="0" applyFont="1" applyFill="1" applyBorder="1" applyAlignment="1">
      <alignment horizontal="center" vertical="center"/>
    </xf>
    <xf numFmtId="0" fontId="15" fillId="13" borderId="8" xfId="0" applyFont="1" applyFill="1" applyBorder="1" applyAlignment="1">
      <alignment horizontal="center" vertical="center" wrapText="1"/>
    </xf>
    <xf numFmtId="0" fontId="3" fillId="0" borderId="1" xfId="0" applyFont="1" applyBorder="1" applyAlignment="1">
      <alignment vertical="center" wrapText="1"/>
    </xf>
    <xf numFmtId="0" fontId="3" fillId="0" borderId="1" xfId="0" applyFont="1" applyBorder="1"/>
    <xf numFmtId="0" fontId="8" fillId="0" borderId="0" xfId="0" applyFont="1" applyAlignment="1">
      <alignment horizontal="center"/>
    </xf>
    <xf numFmtId="0" fontId="3" fillId="0" borderId="3" xfId="0" applyFont="1" applyBorder="1" applyAlignment="1">
      <alignment horizontal="left" wrapText="1"/>
    </xf>
    <xf numFmtId="0" fontId="15" fillId="12" borderId="1" xfId="0" applyFont="1" applyFill="1" applyBorder="1" applyAlignment="1">
      <alignment wrapText="1"/>
    </xf>
    <xf numFmtId="0" fontId="15" fillId="12" borderId="1" xfId="0" applyFont="1" applyFill="1" applyBorder="1"/>
    <xf numFmtId="0" fontId="3" fillId="0" borderId="1" xfId="0" applyFont="1" applyBorder="1" applyAlignment="1">
      <alignment wrapText="1"/>
    </xf>
    <xf numFmtId="0" fontId="4" fillId="0" borderId="0" xfId="0" applyFont="1"/>
    <xf numFmtId="0" fontId="3" fillId="0" borderId="1" xfId="0" applyFont="1" applyBorder="1" applyAlignment="1">
      <alignment vertical="center"/>
    </xf>
    <xf numFmtId="0" fontId="10" fillId="8" borderId="12" xfId="0" applyFont="1" applyFill="1" applyBorder="1" applyAlignment="1">
      <alignment horizontal="center" vertical="center"/>
    </xf>
    <xf numFmtId="0" fontId="9" fillId="0" borderId="1" xfId="0" applyFont="1" applyBorder="1" applyAlignment="1">
      <alignment horizontal="center" vertical="center"/>
    </xf>
    <xf numFmtId="2" fontId="9" fillId="3" borderId="1" xfId="0" applyNumberFormat="1" applyFont="1" applyFill="1" applyBorder="1" applyAlignment="1">
      <alignment horizontal="center" vertical="center"/>
    </xf>
    <xf numFmtId="0" fontId="13" fillId="0" borderId="1" xfId="0" applyFont="1" applyBorder="1" applyAlignment="1">
      <alignment vertical="center" wrapText="1"/>
    </xf>
    <xf numFmtId="0" fontId="8" fillId="0" borderId="0" xfId="0" applyFont="1" applyAlignment="1">
      <alignment horizontal="center" wrapText="1"/>
    </xf>
    <xf numFmtId="0" fontId="4" fillId="0" borderId="1" xfId="0" applyFont="1" applyBorder="1" applyAlignment="1">
      <alignment vertical="center" wrapText="1"/>
    </xf>
    <xf numFmtId="0" fontId="3" fillId="0" borderId="1" xfId="0" applyFont="1" applyBorder="1" applyAlignment="1">
      <alignment horizontal="center" vertical="center" wrapText="1"/>
    </xf>
    <xf numFmtId="0" fontId="17" fillId="14" borderId="1" xfId="0" applyFont="1" applyFill="1" applyBorder="1" applyAlignment="1">
      <alignment vertical="center" wrapText="1"/>
    </xf>
    <xf numFmtId="0" fontId="4"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14" fontId="8" fillId="0" borderId="5" xfId="0" applyNumberFormat="1" applyFont="1" applyBorder="1" applyAlignment="1">
      <alignment horizontal="center" vertical="center"/>
    </xf>
    <xf numFmtId="0" fontId="8" fillId="0" borderId="12" xfId="0" applyFont="1" applyBorder="1" applyAlignment="1">
      <alignment horizontal="center" vertical="center" wrapText="1"/>
    </xf>
    <xf numFmtId="0" fontId="11" fillId="12" borderId="1" xfId="0" applyFont="1" applyFill="1" applyBorder="1" applyAlignment="1">
      <alignment horizontal="center" vertical="center"/>
    </xf>
    <xf numFmtId="0" fontId="8" fillId="0" borderId="17" xfId="0" applyFont="1" applyBorder="1" applyAlignment="1">
      <alignment vertical="center" wrapText="1"/>
    </xf>
    <xf numFmtId="0" fontId="8" fillId="0" borderId="15" xfId="0" applyFont="1" applyBorder="1" applyAlignment="1">
      <alignment horizontal="center" vertical="center" wrapText="1"/>
    </xf>
    <xf numFmtId="0" fontId="0" fillId="0" borderId="1" xfId="0" applyBorder="1" applyAlignment="1">
      <alignment vertical="center" wrapText="1"/>
    </xf>
    <xf numFmtId="0" fontId="9" fillId="0" borderId="1" xfId="0" applyFont="1" applyBorder="1" applyAlignment="1">
      <alignment horizontal="center" vertical="center" wrapText="1"/>
    </xf>
    <xf numFmtId="165" fontId="8" fillId="0" borderId="5" xfId="0" applyNumberFormat="1" applyFont="1" applyBorder="1" applyAlignment="1">
      <alignment horizontal="center" vertical="center"/>
    </xf>
    <xf numFmtId="2" fontId="9" fillId="3" borderId="1" xfId="0" applyNumberFormat="1" applyFont="1" applyFill="1" applyBorder="1" applyAlignment="1">
      <alignment horizontal="center" vertical="center" wrapText="1"/>
    </xf>
    <xf numFmtId="2" fontId="8" fillId="0" borderId="1" xfId="0" applyNumberFormat="1" applyFont="1" applyBorder="1" applyAlignment="1">
      <alignment horizontal="center" vertical="center" wrapText="1"/>
    </xf>
    <xf numFmtId="2" fontId="8" fillId="0" borderId="1" xfId="0" applyNumberFormat="1" applyFont="1" applyBorder="1" applyAlignment="1">
      <alignment vertical="center" wrapText="1"/>
    </xf>
    <xf numFmtId="0" fontId="8" fillId="0" borderId="14" xfId="0" applyFont="1" applyBorder="1" applyAlignment="1">
      <alignment horizontal="center" vertical="center" wrapText="1"/>
    </xf>
    <xf numFmtId="14" fontId="8" fillId="0" borderId="5" xfId="0" applyNumberFormat="1" applyFont="1" applyBorder="1" applyAlignment="1">
      <alignment horizontal="center" vertical="center" wrapText="1"/>
    </xf>
    <xf numFmtId="2" fontId="8" fillId="0" borderId="13" xfId="0" applyNumberFormat="1" applyFont="1" applyBorder="1" applyAlignment="1">
      <alignment horizontal="center" vertical="center" wrapText="1"/>
    </xf>
    <xf numFmtId="2" fontId="8" fillId="0" borderId="13" xfId="0" applyNumberFormat="1" applyFont="1" applyBorder="1" applyAlignment="1">
      <alignment vertical="center" wrapText="1"/>
    </xf>
    <xf numFmtId="2" fontId="8" fillId="0" borderId="5" xfId="0" applyNumberFormat="1" applyFont="1" applyBorder="1" applyAlignment="1">
      <alignment horizontal="center" vertical="center" wrapText="1"/>
    </xf>
    <xf numFmtId="2" fontId="8" fillId="0" borderId="5" xfId="0" applyNumberFormat="1" applyFont="1" applyBorder="1" applyAlignment="1">
      <alignment vertical="center" wrapText="1"/>
    </xf>
    <xf numFmtId="0" fontId="8" fillId="0" borderId="0" xfId="0" applyFont="1" applyAlignment="1">
      <alignment vertical="center" wrapText="1"/>
    </xf>
    <xf numFmtId="0" fontId="3" fillId="0" borderId="1" xfId="0" applyFont="1" applyBorder="1" applyAlignment="1">
      <alignment horizontal="left" vertical="center" wrapText="1"/>
    </xf>
    <xf numFmtId="0" fontId="0" fillId="0" borderId="4" xfId="0" applyBorder="1"/>
    <xf numFmtId="0" fontId="15" fillId="12" borderId="0" xfId="1" applyFont="1" applyFill="1" applyAlignment="1">
      <alignment horizontal="center"/>
    </xf>
    <xf numFmtId="0" fontId="3" fillId="0" borderId="0" xfId="0" applyFont="1"/>
    <xf numFmtId="14" fontId="3" fillId="0" borderId="1" xfId="0" applyNumberFormat="1" applyFont="1" applyBorder="1" applyAlignment="1">
      <alignment horizontal="left" vertical="center" wrapText="1"/>
    </xf>
    <xf numFmtId="0" fontId="4" fillId="0" borderId="0" xfId="0" applyFont="1" applyAlignment="1">
      <alignment horizontal="center"/>
    </xf>
    <xf numFmtId="0" fontId="3" fillId="0" borderId="0" xfId="0" applyFont="1" applyAlignment="1">
      <alignment horizontal="center"/>
    </xf>
    <xf numFmtId="0" fontId="15" fillId="12" borderId="6" xfId="0" applyFont="1" applyFill="1" applyBorder="1" applyAlignment="1">
      <alignment horizontal="center" wrapText="1"/>
    </xf>
    <xf numFmtId="0" fontId="0" fillId="0" borderId="7" xfId="0" applyBorder="1"/>
    <xf numFmtId="0" fontId="6" fillId="0" borderId="9" xfId="0" applyFont="1" applyBorder="1" applyAlignment="1">
      <alignment horizontal="center" vertical="center" wrapText="1"/>
    </xf>
    <xf numFmtId="0" fontId="0" fillId="0" borderId="10" xfId="0" applyBorder="1"/>
    <xf numFmtId="0" fontId="15" fillId="12" borderId="6" xfId="0" applyFont="1" applyFill="1" applyBorder="1" applyAlignment="1">
      <alignment horizontal="center" vertical="center" wrapText="1"/>
    </xf>
    <xf numFmtId="0" fontId="7" fillId="0" borderId="0" xfId="0" applyFont="1" applyAlignment="1">
      <alignment horizontal="center"/>
    </xf>
    <xf numFmtId="0" fontId="8" fillId="0" borderId="0" xfId="0" applyFont="1" applyAlignment="1">
      <alignment horizontal="center"/>
    </xf>
    <xf numFmtId="0" fontId="8" fillId="0" borderId="1" xfId="0" applyFont="1" applyBorder="1" applyAlignment="1">
      <alignment horizontal="left"/>
    </xf>
    <xf numFmtId="0" fontId="8" fillId="0" borderId="1" xfId="0" applyFont="1" applyBorder="1" applyAlignment="1">
      <alignment horizontal="center"/>
    </xf>
    <xf numFmtId="0" fontId="0" fillId="0" borderId="21" xfId="0" applyBorder="1"/>
    <xf numFmtId="0" fontId="8" fillId="0" borderId="0" xfId="0" applyFont="1" applyAlignment="1">
      <alignment horizontal="left" wrapText="1"/>
    </xf>
    <xf numFmtId="0" fontId="14" fillId="12" borderId="3" xfId="0" applyFont="1" applyFill="1" applyBorder="1" applyAlignment="1">
      <alignment horizontal="center"/>
    </xf>
    <xf numFmtId="0" fontId="0" fillId="0" borderId="3" xfId="0" applyBorder="1"/>
    <xf numFmtId="0" fontId="7" fillId="0" borderId="1" xfId="0" applyFont="1" applyBorder="1" applyAlignment="1">
      <alignment horizontal="center"/>
    </xf>
    <xf numFmtId="0" fontId="8" fillId="0" borderId="1" xfId="0" applyFont="1" applyBorder="1" applyAlignment="1">
      <alignment horizontal="left" vertical="center" wrapText="1"/>
    </xf>
    <xf numFmtId="0" fontId="0" fillId="0" borderId="22" xfId="0" applyBorder="1"/>
    <xf numFmtId="0" fontId="0" fillId="0" borderId="18" xfId="0" applyBorder="1"/>
    <xf numFmtId="0" fontId="16" fillId="12" borderId="5" xfId="0" applyFont="1" applyFill="1" applyBorder="1" applyAlignment="1">
      <alignment horizontal="center" wrapText="1"/>
    </xf>
    <xf numFmtId="0" fontId="0" fillId="0" borderId="25" xfId="0" applyBorder="1"/>
    <xf numFmtId="0" fontId="0" fillId="0" borderId="14" xfId="0" applyBorder="1"/>
    <xf numFmtId="0" fontId="16" fillId="12" borderId="5" xfId="0" applyFont="1" applyFill="1" applyBorder="1" applyAlignment="1">
      <alignment horizontal="center" vertical="center"/>
    </xf>
    <xf numFmtId="0" fontId="0" fillId="0" borderId="11" xfId="0" applyBorder="1"/>
    <xf numFmtId="0" fontId="0" fillId="0" borderId="13" xfId="0" applyBorder="1"/>
    <xf numFmtId="0" fontId="16" fillId="12" borderId="5" xfId="0" applyFont="1" applyFill="1" applyBorder="1" applyAlignment="1">
      <alignment horizontal="center" vertical="center" wrapText="1"/>
    </xf>
    <xf numFmtId="0" fontId="16" fillId="13" borderId="5" xfId="0" applyFont="1" applyFill="1" applyBorder="1" applyAlignment="1">
      <alignment horizontal="left" vertical="center" wrapText="1"/>
    </xf>
    <xf numFmtId="0" fontId="12" fillId="0" borderId="0" xfId="0" applyFont="1" applyAlignment="1">
      <alignment horizontal="center" wrapText="1"/>
    </xf>
    <xf numFmtId="0" fontId="0" fillId="0" borderId="0" xfId="0"/>
    <xf numFmtId="0" fontId="0" fillId="0" borderId="0" xfId="0" applyAlignment="1">
      <alignment horizontal="center" vertical="center"/>
    </xf>
    <xf numFmtId="0" fontId="16" fillId="12" borderId="26" xfId="0" applyFont="1" applyFill="1" applyBorder="1" applyAlignment="1">
      <alignment horizontal="center" vertical="center"/>
    </xf>
    <xf numFmtId="0" fontId="0" fillId="0" borderId="16" xfId="0" applyBorder="1"/>
    <xf numFmtId="0" fontId="4" fillId="0" borderId="0" xfId="0" applyFont="1" applyAlignment="1">
      <alignment horizontal="left" wrapText="1"/>
    </xf>
    <xf numFmtId="0" fontId="8" fillId="0" borderId="5" xfId="0" applyFont="1" applyBorder="1" applyAlignment="1">
      <alignment horizontal="center" vertical="center"/>
    </xf>
    <xf numFmtId="0" fontId="11" fillId="12" borderId="1" xfId="0" applyFont="1" applyFill="1" applyBorder="1" applyAlignment="1">
      <alignment horizontal="center" vertical="center" wrapText="1"/>
    </xf>
    <xf numFmtId="0" fontId="0" fillId="0" borderId="19" xfId="0" applyBorder="1"/>
    <xf numFmtId="0" fontId="0" fillId="0" borderId="20" xfId="0" applyBorder="1"/>
    <xf numFmtId="0" fontId="0" fillId="0" borderId="2" xfId="0" applyBorder="1"/>
    <xf numFmtId="0" fontId="0" fillId="0" borderId="28" xfId="0" applyBorder="1"/>
    <xf numFmtId="0" fontId="8" fillId="0" borderId="1" xfId="0" applyFont="1" applyBorder="1" applyAlignment="1">
      <alignment horizontal="center" vertical="center" wrapText="1"/>
    </xf>
    <xf numFmtId="0" fontId="0" fillId="0" borderId="18" xfId="0" applyBorder="1" applyAlignment="1">
      <alignment vertical="center" wrapText="1"/>
    </xf>
    <xf numFmtId="0" fontId="8" fillId="0" borderId="27" xfId="0" applyFont="1" applyBorder="1" applyAlignment="1">
      <alignment horizontal="center" vertical="center" wrapText="1"/>
    </xf>
    <xf numFmtId="0" fontId="0" fillId="0" borderId="11" xfId="0" applyBorder="1" applyAlignment="1">
      <alignment vertical="center" wrapText="1"/>
    </xf>
    <xf numFmtId="0" fontId="0" fillId="0" borderId="13" xfId="0" applyBorder="1" applyAlignment="1">
      <alignment vertical="center" wrapText="1"/>
    </xf>
    <xf numFmtId="0" fontId="8" fillId="0" borderId="13" xfId="0" applyFont="1" applyBorder="1" applyAlignment="1">
      <alignment horizontal="center" vertical="center" wrapText="1"/>
    </xf>
    <xf numFmtId="0" fontId="8" fillId="0" borderId="5" xfId="0" applyFont="1" applyBorder="1" applyAlignment="1">
      <alignment horizontal="center" vertical="center" wrapText="1"/>
    </xf>
    <xf numFmtId="0" fontId="11" fillId="12" borderId="1" xfId="0" applyFont="1" applyFill="1" applyBorder="1" applyAlignment="1">
      <alignment horizontal="center" vertical="center"/>
    </xf>
    <xf numFmtId="0" fontId="7" fillId="6"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11" fillId="12" borderId="14" xfId="0" applyFont="1" applyFill="1" applyBorder="1" applyAlignment="1">
      <alignment horizontal="center" vertical="center" wrapText="1"/>
    </xf>
    <xf numFmtId="0" fontId="0" fillId="0" borderId="29" xfId="0" applyBorder="1"/>
    <xf numFmtId="0" fontId="0" fillId="0" borderId="30" xfId="0" applyBorder="1"/>
    <xf numFmtId="0" fontId="7" fillId="11" borderId="5" xfId="0" applyFont="1" applyFill="1" applyBorder="1" applyAlignment="1">
      <alignment horizontal="center" vertical="center" wrapText="1"/>
    </xf>
    <xf numFmtId="0" fontId="0" fillId="0" borderId="23" xfId="0" applyBorder="1"/>
    <xf numFmtId="0" fontId="0" fillId="0" borderId="24" xfId="0" applyBorder="1"/>
    <xf numFmtId="0" fontId="0" fillId="0" borderId="31" xfId="0" applyBorder="1"/>
    <xf numFmtId="0" fontId="0" fillId="0" borderId="32" xfId="0" applyBorder="1"/>
  </cellXfs>
  <cellStyles count="3">
    <cellStyle name="Hipervínculo" xfId="1" xr:uid="{00000000-0005-0000-0000-000001000000}"/>
    <cellStyle name="Normal" xfId="0" builtinId="0"/>
    <cellStyle name="Normal 2" xfId="2" xr:uid="{00000000-0005-0000-0000-000002000000}"/>
  </cellStyles>
  <dxfs count="29">
    <dxf>
      <font>
        <b/>
        <color rgb="FF00823B"/>
      </font>
    </dxf>
    <dxf>
      <font>
        <b/>
        <color rgb="FFC00000"/>
      </font>
    </dxf>
    <dxf>
      <font>
        <b/>
        <color rgb="FF00823B"/>
      </font>
    </dxf>
    <dxf>
      <font>
        <b/>
        <color rgb="FFC00000"/>
      </font>
    </dxf>
    <dxf>
      <font>
        <b/>
        <color rgb="FF00823B"/>
      </font>
    </dxf>
    <dxf>
      <font>
        <b/>
        <color rgb="FFC00000"/>
      </font>
    </dxf>
    <dxf>
      <font>
        <b/>
      </font>
      <fill>
        <patternFill>
          <bgColor rgb="FFC00000"/>
        </patternFill>
      </fill>
    </dxf>
    <dxf>
      <font>
        <b/>
      </font>
      <fill>
        <patternFill>
          <bgColor rgb="FFFFC000"/>
        </patternFill>
      </fill>
    </dxf>
    <dxf>
      <font>
        <b/>
      </font>
      <fill>
        <patternFill>
          <bgColor rgb="FF92D050"/>
        </patternFill>
      </fill>
    </dxf>
    <dxf>
      <font>
        <b/>
        <color rgb="FF00823B"/>
      </font>
      <fill>
        <patternFill>
          <bgColor theme="0"/>
        </patternFill>
      </fill>
    </dxf>
    <dxf>
      <font>
        <b/>
        <color rgb="FFFF0000"/>
      </font>
    </dxf>
    <dxf>
      <font>
        <b/>
        <color theme="3"/>
      </font>
    </dxf>
    <dxf>
      <fill>
        <patternFill>
          <bgColor rgb="FFC00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C00000"/>
        </patternFill>
      </fill>
    </dxf>
    <dxf>
      <font>
        <b/>
      </font>
      <fill>
        <patternFill>
          <bgColor rgb="FFFFC000"/>
        </patternFill>
      </fill>
    </dxf>
    <dxf>
      <font>
        <b/>
      </font>
      <fill>
        <patternFill>
          <bgColor rgb="FF92D050"/>
        </patternFill>
      </fill>
    </dxf>
    <dxf>
      <fill>
        <patternFill>
          <bgColor rgb="FFC00000"/>
        </patternFill>
      </fill>
    </dxf>
    <dxf>
      <fill>
        <patternFill>
          <bgColor rgb="FFFFC000"/>
        </patternFill>
      </fill>
    </dxf>
    <dxf>
      <fill>
        <patternFill>
          <bgColor rgb="FF92D050"/>
        </patternFill>
      </fill>
    </dxf>
    <dxf>
      <font>
        <b/>
        <color theme="0"/>
      </font>
      <fill>
        <patternFill>
          <bgColor rgb="FFC00000"/>
        </patternFill>
      </fill>
    </dxf>
    <dxf>
      <font>
        <b/>
        <color theme="1"/>
      </font>
      <fill>
        <patternFill>
          <bgColor rgb="FFFFC000"/>
        </patternFill>
      </fill>
    </dxf>
    <dxf>
      <font>
        <b/>
      </font>
      <fill>
        <patternFill>
          <bgColor rgb="FF92D050"/>
        </patternFill>
      </fill>
    </dxf>
    <dxf>
      <fill>
        <patternFill>
          <bgColor rgb="FFC00000"/>
        </patternFill>
      </fill>
    </dxf>
    <dxf>
      <fill>
        <patternFill>
          <bgColor rgb="FFFFC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0</xdr:colOff>
      <xdr:row>37</xdr:row>
      <xdr:rowOff>19050</xdr:rowOff>
    </xdr:to>
    <xdr:sp macro="" textlink="">
      <xdr:nvSpPr>
        <xdr:cNvPr id="1026" name="Text Box 2" hidden="1">
          <a:extLst>
            <a:ext uri="{FF2B5EF4-FFF2-40B4-BE49-F238E27FC236}">
              <a16:creationId xmlns:a16="http://schemas.microsoft.com/office/drawing/2014/main" id="{510D7B7A-2C54-3B10-FB94-0322C116204C}"/>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342900</xdr:colOff>
      <xdr:row>22</xdr:row>
      <xdr:rowOff>57150</xdr:rowOff>
    </xdr:to>
    <xdr:sp macro="" textlink="">
      <xdr:nvSpPr>
        <xdr:cNvPr id="2051" name="Text Box 3" hidden="1">
          <a:extLst>
            <a:ext uri="{FF2B5EF4-FFF2-40B4-BE49-F238E27FC236}">
              <a16:creationId xmlns:a16="http://schemas.microsoft.com/office/drawing/2014/main" id="{28AFA001-6085-7C96-D948-1EA9C60B9C19}"/>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4"/>
  <sheetViews>
    <sheetView workbookViewId="0">
      <selection activeCell="G11" sqref="G11"/>
    </sheetView>
  </sheetViews>
  <sheetFormatPr baseColWidth="10" defaultColWidth="17.42578125" defaultRowHeight="11.25" x14ac:dyDescent="0.2"/>
  <cols>
    <col min="1" max="1" width="7.42578125" style="2" customWidth="1"/>
    <col min="2" max="2" width="17.42578125" style="2" customWidth="1"/>
    <col min="3" max="3" width="17.28515625" style="2" customWidth="1"/>
    <col min="4" max="4" width="29.28515625" style="2" customWidth="1"/>
    <col min="5" max="5" width="17.42578125" style="2" customWidth="1"/>
    <col min="6" max="16384" width="17.42578125" style="2"/>
  </cols>
  <sheetData>
    <row r="2" spans="2:4" ht="18.75" customHeight="1" x14ac:dyDescent="0.2">
      <c r="B2" s="85" t="s">
        <v>0</v>
      </c>
      <c r="C2" s="86"/>
      <c r="D2" s="86"/>
    </row>
    <row r="3" spans="2:4" ht="12.75" x14ac:dyDescent="0.2">
      <c r="B3" s="62" t="s">
        <v>1</v>
      </c>
      <c r="C3" s="83">
        <v>0.1</v>
      </c>
      <c r="D3" s="84"/>
    </row>
    <row r="4" spans="2:4" ht="24" customHeight="1" x14ac:dyDescent="0.2">
      <c r="B4" s="62" t="s">
        <v>2</v>
      </c>
      <c r="C4" s="87">
        <v>46307</v>
      </c>
      <c r="D4" s="84"/>
    </row>
    <row r="5" spans="2:4" ht="36.75" customHeight="1" x14ac:dyDescent="0.2">
      <c r="B5" s="62" t="s">
        <v>3</v>
      </c>
      <c r="C5" s="83" t="s">
        <v>448</v>
      </c>
      <c r="D5" s="84"/>
    </row>
    <row r="6" spans="2:4" ht="23.25" customHeight="1" x14ac:dyDescent="0.2">
      <c r="B6" s="62" t="s">
        <v>4</v>
      </c>
      <c r="C6" s="83"/>
      <c r="D6" s="84"/>
    </row>
    <row r="7" spans="2:4" ht="22.5" customHeight="1" x14ac:dyDescent="0.2">
      <c r="B7" s="62" t="s">
        <v>5</v>
      </c>
      <c r="C7" s="83" t="s">
        <v>6</v>
      </c>
      <c r="D7" s="84"/>
    </row>
    <row r="8" spans="2:4" ht="25.5" customHeight="1" x14ac:dyDescent="0.2">
      <c r="B8" s="62" t="s">
        <v>7</v>
      </c>
      <c r="C8" s="83" t="s">
        <v>8</v>
      </c>
      <c r="D8" s="84"/>
    </row>
    <row r="11" spans="2:4" x14ac:dyDescent="0.2">
      <c r="B11" s="63"/>
      <c r="C11" s="63"/>
      <c r="D11" s="60"/>
    </row>
    <row r="12" spans="2:4" x14ac:dyDescent="0.2">
      <c r="B12" s="61"/>
      <c r="C12" s="64"/>
      <c r="D12" s="46"/>
    </row>
    <row r="13" spans="2:4" x14ac:dyDescent="0.2">
      <c r="B13" s="61"/>
      <c r="C13" s="64"/>
      <c r="D13" s="46"/>
    </row>
    <row r="14" spans="2:4" x14ac:dyDescent="0.2">
      <c r="B14" s="61"/>
      <c r="C14" s="64"/>
      <c r="D14" s="46"/>
    </row>
  </sheetData>
  <mergeCells count="7">
    <mergeCell ref="C8:D8"/>
    <mergeCell ref="C4:D4"/>
    <mergeCell ref="C6:D6"/>
    <mergeCell ref="C7:D7"/>
    <mergeCell ref="C5:D5"/>
    <mergeCell ref="B2:D2"/>
    <mergeCell ref="C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45"/>
  <sheetViews>
    <sheetView workbookViewId="0"/>
  </sheetViews>
  <sheetFormatPr baseColWidth="10" defaultColWidth="11.42578125" defaultRowHeight="11.25" x14ac:dyDescent="0.2"/>
  <cols>
    <col min="1" max="1" width="11.42578125" style="2" customWidth="1"/>
    <col min="2" max="2" width="26.7109375" style="2" customWidth="1"/>
    <col min="3" max="3" width="43.5703125" style="2" customWidth="1"/>
    <col min="4" max="4" width="26.28515625" style="2" customWidth="1"/>
    <col min="5" max="5" width="23.42578125" style="2" customWidth="1"/>
    <col min="6" max="6" width="11.42578125" style="2" customWidth="1"/>
    <col min="7" max="16384" width="11.42578125" style="2"/>
  </cols>
  <sheetData>
    <row r="2" spans="2:3" x14ac:dyDescent="0.2">
      <c r="B2" s="88" t="s">
        <v>9</v>
      </c>
      <c r="C2" s="86"/>
    </row>
    <row r="3" spans="2:3" x14ac:dyDescent="0.2">
      <c r="C3" s="49"/>
    </row>
    <row r="4" spans="2:3" ht="33.75" customHeight="1" x14ac:dyDescent="0.2">
      <c r="B4" s="50" t="s">
        <v>10</v>
      </c>
      <c r="C4" s="51" t="s">
        <v>11</v>
      </c>
    </row>
    <row r="5" spans="2:3" ht="33.75" customHeight="1" x14ac:dyDescent="0.2">
      <c r="B5" s="47" t="s">
        <v>12</v>
      </c>
      <c r="C5" s="52" t="s">
        <v>13</v>
      </c>
    </row>
    <row r="6" spans="2:3" ht="33.75" customHeight="1" x14ac:dyDescent="0.2">
      <c r="B6" s="47" t="s">
        <v>14</v>
      </c>
      <c r="C6" s="52" t="s">
        <v>15</v>
      </c>
    </row>
    <row r="7" spans="2:3" ht="22.5" customHeight="1" x14ac:dyDescent="0.2">
      <c r="B7" s="47" t="s">
        <v>16</v>
      </c>
      <c r="C7" s="52" t="s">
        <v>17</v>
      </c>
    </row>
    <row r="9" spans="2:3" ht="22.5" customHeight="1" x14ac:dyDescent="0.2">
      <c r="B9" s="50" t="s">
        <v>18</v>
      </c>
      <c r="C9" s="51" t="s">
        <v>11</v>
      </c>
    </row>
    <row r="10" spans="2:3" ht="22.5" customHeight="1" x14ac:dyDescent="0.2">
      <c r="B10" s="47" t="s">
        <v>12</v>
      </c>
      <c r="C10" s="52" t="s">
        <v>19</v>
      </c>
    </row>
    <row r="11" spans="2:3" ht="22.5" customHeight="1" x14ac:dyDescent="0.2">
      <c r="B11" s="47" t="s">
        <v>14</v>
      </c>
      <c r="C11" s="52" t="s">
        <v>20</v>
      </c>
    </row>
    <row r="12" spans="2:3" ht="22.5" customHeight="1" x14ac:dyDescent="0.2">
      <c r="B12" s="47" t="s">
        <v>16</v>
      </c>
      <c r="C12" s="52" t="s">
        <v>21</v>
      </c>
    </row>
    <row r="14" spans="2:3" ht="22.5" customHeight="1" x14ac:dyDescent="0.2">
      <c r="B14" s="50" t="s">
        <v>22</v>
      </c>
      <c r="C14" s="51" t="s">
        <v>11</v>
      </c>
    </row>
    <row r="15" spans="2:3" ht="22.5" customHeight="1" x14ac:dyDescent="0.2">
      <c r="B15" s="47" t="s">
        <v>12</v>
      </c>
      <c r="C15" s="52" t="s">
        <v>23</v>
      </c>
    </row>
    <row r="16" spans="2:3" ht="22.5" customHeight="1" x14ac:dyDescent="0.2">
      <c r="B16" s="47" t="s">
        <v>14</v>
      </c>
      <c r="C16" s="52" t="s">
        <v>24</v>
      </c>
    </row>
    <row r="17" spans="2:6" ht="20.25" customHeight="1" x14ac:dyDescent="0.2">
      <c r="B17" s="47" t="s">
        <v>16</v>
      </c>
      <c r="C17" s="52" t="s">
        <v>25</v>
      </c>
    </row>
    <row r="19" spans="2:6" x14ac:dyDescent="0.2">
      <c r="B19" s="53" t="s">
        <v>26</v>
      </c>
    </row>
    <row r="20" spans="2:6" x14ac:dyDescent="0.2">
      <c r="B20" s="51" t="s">
        <v>27</v>
      </c>
      <c r="C20" s="51" t="s">
        <v>28</v>
      </c>
      <c r="D20" s="51" t="s">
        <v>29</v>
      </c>
      <c r="E20" s="51" t="s">
        <v>30</v>
      </c>
      <c r="F20" s="51" t="s">
        <v>31</v>
      </c>
    </row>
    <row r="21" spans="2:6" ht="60" customHeight="1" x14ac:dyDescent="0.2">
      <c r="B21" s="54" t="s">
        <v>12</v>
      </c>
      <c r="C21" s="46" t="s">
        <v>32</v>
      </c>
      <c r="D21" s="46" t="s">
        <v>33</v>
      </c>
      <c r="E21" s="46" t="s">
        <v>34</v>
      </c>
      <c r="F21" s="46" t="s">
        <v>35</v>
      </c>
    </row>
    <row r="22" spans="2:6" ht="61.5" customHeight="1" x14ac:dyDescent="0.2">
      <c r="B22" s="54" t="s">
        <v>14</v>
      </c>
      <c r="C22" s="46" t="s">
        <v>36</v>
      </c>
      <c r="D22" s="46" t="s">
        <v>37</v>
      </c>
      <c r="E22" s="46" t="s">
        <v>38</v>
      </c>
      <c r="F22" s="46" t="s">
        <v>39</v>
      </c>
    </row>
    <row r="23" spans="2:6" ht="21.75" customHeight="1" x14ac:dyDescent="0.2">
      <c r="B23" s="54" t="s">
        <v>16</v>
      </c>
      <c r="C23" s="46" t="s">
        <v>40</v>
      </c>
      <c r="D23" s="46" t="s">
        <v>41</v>
      </c>
      <c r="E23" s="46" t="s">
        <v>42</v>
      </c>
      <c r="F23" s="46" t="s">
        <v>43</v>
      </c>
    </row>
    <row r="24" spans="2:6" x14ac:dyDescent="0.2">
      <c r="B24" s="54" t="s">
        <v>44</v>
      </c>
      <c r="C24" s="46"/>
      <c r="D24" s="54"/>
      <c r="E24" s="54"/>
      <c r="F24" s="54"/>
    </row>
    <row r="27" spans="2:6" x14ac:dyDescent="0.2">
      <c r="B27" s="53" t="s">
        <v>45</v>
      </c>
    </row>
    <row r="28" spans="2:6" x14ac:dyDescent="0.2">
      <c r="B28" s="51" t="s">
        <v>46</v>
      </c>
      <c r="C28" s="51" t="s">
        <v>47</v>
      </c>
      <c r="D28" s="51" t="s">
        <v>31</v>
      </c>
    </row>
    <row r="29" spans="2:6" ht="33.75" customHeight="1" x14ac:dyDescent="0.2">
      <c r="B29" s="54" t="s">
        <v>12</v>
      </c>
      <c r="C29" s="52" t="s">
        <v>48</v>
      </c>
      <c r="D29" s="52" t="s">
        <v>49</v>
      </c>
    </row>
    <row r="30" spans="2:6" ht="33.75" customHeight="1" x14ac:dyDescent="0.2">
      <c r="B30" s="54" t="s">
        <v>14</v>
      </c>
      <c r="C30" s="52" t="s">
        <v>50</v>
      </c>
      <c r="D30" s="52" t="s">
        <v>51</v>
      </c>
    </row>
    <row r="31" spans="2:6" ht="22.5" customHeight="1" x14ac:dyDescent="0.2">
      <c r="B31" s="54" t="s">
        <v>16</v>
      </c>
      <c r="C31" s="52" t="s">
        <v>52</v>
      </c>
      <c r="D31" s="52" t="s">
        <v>53</v>
      </c>
    </row>
    <row r="35" spans="2:6" x14ac:dyDescent="0.2">
      <c r="B35" s="89" t="s">
        <v>54</v>
      </c>
      <c r="C35" s="86"/>
      <c r="D35" s="86"/>
      <c r="E35" s="86"/>
      <c r="F35" s="86"/>
    </row>
    <row r="36" spans="2:6" x14ac:dyDescent="0.2">
      <c r="B36" s="4"/>
      <c r="C36" s="4"/>
      <c r="D36" s="4"/>
      <c r="E36" s="4"/>
      <c r="F36" s="4"/>
    </row>
    <row r="37" spans="2:6" x14ac:dyDescent="0.2">
      <c r="B37" s="4"/>
      <c r="C37" s="4"/>
      <c r="D37" s="4"/>
      <c r="E37" s="4"/>
      <c r="F37" s="4"/>
    </row>
    <row r="38" spans="2:6" x14ac:dyDescent="0.2">
      <c r="B38" s="4"/>
      <c r="C38" s="4"/>
      <c r="D38" s="4"/>
      <c r="E38" s="4"/>
      <c r="F38" s="4"/>
    </row>
    <row r="39" spans="2:6" x14ac:dyDescent="0.2">
      <c r="B39" s="4"/>
      <c r="C39" s="4"/>
      <c r="D39" s="4"/>
      <c r="E39" s="4"/>
      <c r="F39" s="4"/>
    </row>
    <row r="44" spans="2:6" x14ac:dyDescent="0.2">
      <c r="C44" s="2" t="s">
        <v>55</v>
      </c>
    </row>
    <row r="45" spans="2:6" x14ac:dyDescent="0.2">
      <c r="C45" s="2" t="s">
        <v>56</v>
      </c>
    </row>
  </sheetData>
  <mergeCells count="2">
    <mergeCell ref="B2:C2"/>
    <mergeCell ref="B35:F35"/>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41"/>
  <sheetViews>
    <sheetView workbookViewId="0"/>
  </sheetViews>
  <sheetFormatPr baseColWidth="10" defaultColWidth="11.42578125" defaultRowHeight="11.25" x14ac:dyDescent="0.2"/>
  <cols>
    <col min="1" max="1" width="11.42578125" style="2" customWidth="1"/>
    <col min="2" max="2" width="6.7109375" style="2" customWidth="1"/>
    <col min="3" max="3" width="28.28515625" style="2" customWidth="1"/>
    <col min="4" max="4" width="100.5703125" style="2" customWidth="1"/>
    <col min="5" max="5" width="11.42578125" style="2" customWidth="1"/>
    <col min="6" max="16384" width="11.42578125" style="2"/>
  </cols>
  <sheetData>
    <row r="1" spans="2:4" ht="15.75" customHeight="1" x14ac:dyDescent="0.2">
      <c r="B1" s="92" t="s">
        <v>57</v>
      </c>
      <c r="C1" s="93"/>
      <c r="D1" s="93"/>
    </row>
    <row r="2" spans="2:4" ht="11.25" customHeight="1" x14ac:dyDescent="0.2">
      <c r="B2" s="94" t="s">
        <v>58</v>
      </c>
      <c r="C2" s="91"/>
      <c r="D2" s="91"/>
    </row>
    <row r="3" spans="2:4" x14ac:dyDescent="0.2">
      <c r="B3" s="44" t="s">
        <v>59</v>
      </c>
      <c r="C3" s="45" t="s">
        <v>60</v>
      </c>
      <c r="D3" s="45" t="s">
        <v>61</v>
      </c>
    </row>
    <row r="4" spans="2:4" x14ac:dyDescent="0.2">
      <c r="B4" s="6">
        <v>1</v>
      </c>
      <c r="C4" s="7" t="s">
        <v>62</v>
      </c>
      <c r="D4" s="7" t="s">
        <v>63</v>
      </c>
    </row>
    <row r="5" spans="2:4" x14ac:dyDescent="0.2">
      <c r="B5" s="6">
        <v>2</v>
      </c>
      <c r="C5" s="7" t="s">
        <v>64</v>
      </c>
      <c r="D5" s="7" t="s">
        <v>65</v>
      </c>
    </row>
    <row r="6" spans="2:4" x14ac:dyDescent="0.2">
      <c r="B6" s="6">
        <v>3</v>
      </c>
      <c r="C6" s="7" t="s">
        <v>66</v>
      </c>
      <c r="D6" s="7" t="s">
        <v>67</v>
      </c>
    </row>
    <row r="7" spans="2:4" ht="33.75" customHeight="1" x14ac:dyDescent="0.2">
      <c r="B7" s="6">
        <v>4</v>
      </c>
      <c r="C7" s="7" t="s">
        <v>68</v>
      </c>
      <c r="D7" s="7" t="s">
        <v>69</v>
      </c>
    </row>
    <row r="8" spans="2:4" x14ac:dyDescent="0.2">
      <c r="B8" s="6">
        <v>5</v>
      </c>
      <c r="C8" s="7" t="s">
        <v>70</v>
      </c>
      <c r="D8" s="7" t="s">
        <v>71</v>
      </c>
    </row>
    <row r="9" spans="2:4" x14ac:dyDescent="0.2">
      <c r="B9" s="6">
        <v>6</v>
      </c>
      <c r="C9" s="7" t="s">
        <v>72</v>
      </c>
      <c r="D9" s="7" t="s">
        <v>73</v>
      </c>
    </row>
    <row r="10" spans="2:4" x14ac:dyDescent="0.2">
      <c r="B10" s="6">
        <v>7</v>
      </c>
      <c r="C10" s="7" t="s">
        <v>74</v>
      </c>
      <c r="D10" s="7" t="s">
        <v>75</v>
      </c>
    </row>
    <row r="11" spans="2:4" x14ac:dyDescent="0.2">
      <c r="B11" s="6">
        <v>8</v>
      </c>
      <c r="C11" s="7" t="s">
        <v>76</v>
      </c>
      <c r="D11" s="7" t="s">
        <v>77</v>
      </c>
    </row>
    <row r="12" spans="2:4" x14ac:dyDescent="0.2">
      <c r="B12" s="6">
        <v>9</v>
      </c>
      <c r="C12" s="7" t="s">
        <v>78</v>
      </c>
      <c r="D12" s="7" t="s">
        <v>79</v>
      </c>
    </row>
    <row r="13" spans="2:4" ht="22.5" customHeight="1" x14ac:dyDescent="0.2">
      <c r="B13" s="6">
        <v>10</v>
      </c>
      <c r="C13" s="7" t="s">
        <v>80</v>
      </c>
      <c r="D13" s="7" t="s">
        <v>81</v>
      </c>
    </row>
    <row r="14" spans="2:4" x14ac:dyDescent="0.2">
      <c r="B14" s="6">
        <v>11</v>
      </c>
      <c r="C14" s="7" t="s">
        <v>82</v>
      </c>
      <c r="D14" s="7" t="s">
        <v>83</v>
      </c>
    </row>
    <row r="15" spans="2:4" x14ac:dyDescent="0.2">
      <c r="B15" s="6">
        <v>12</v>
      </c>
      <c r="C15" s="7" t="s">
        <v>84</v>
      </c>
      <c r="D15" s="7" t="s">
        <v>85</v>
      </c>
    </row>
    <row r="16" spans="2:4" x14ac:dyDescent="0.2">
      <c r="B16" s="6">
        <v>13</v>
      </c>
      <c r="C16" s="7" t="s">
        <v>86</v>
      </c>
      <c r="D16" s="7" t="s">
        <v>87</v>
      </c>
    </row>
    <row r="17" spans="2:4" ht="18" customHeight="1" x14ac:dyDescent="0.2">
      <c r="B17" s="90" t="s">
        <v>88</v>
      </c>
      <c r="C17" s="91"/>
      <c r="D17" s="91"/>
    </row>
    <row r="18" spans="2:4" x14ac:dyDescent="0.2">
      <c r="B18" s="6">
        <v>1</v>
      </c>
      <c r="C18" s="7" t="s">
        <v>89</v>
      </c>
      <c r="D18" s="7" t="s">
        <v>90</v>
      </c>
    </row>
    <row r="19" spans="2:4" x14ac:dyDescent="0.2">
      <c r="B19" s="6">
        <v>2</v>
      </c>
      <c r="C19" s="7" t="s">
        <v>64</v>
      </c>
      <c r="D19" s="7" t="s">
        <v>91</v>
      </c>
    </row>
    <row r="20" spans="2:4" x14ac:dyDescent="0.2">
      <c r="B20" s="6">
        <v>3</v>
      </c>
      <c r="C20" s="7" t="s">
        <v>66</v>
      </c>
      <c r="D20" s="7" t="s">
        <v>92</v>
      </c>
    </row>
    <row r="21" spans="2:4" x14ac:dyDescent="0.2">
      <c r="B21" s="6">
        <v>4</v>
      </c>
      <c r="C21" s="7" t="s">
        <v>62</v>
      </c>
      <c r="D21" s="7" t="s">
        <v>93</v>
      </c>
    </row>
    <row r="22" spans="2:4" x14ac:dyDescent="0.2">
      <c r="B22" s="6">
        <v>5</v>
      </c>
      <c r="C22" s="7" t="s">
        <v>94</v>
      </c>
      <c r="D22" s="7" t="s">
        <v>95</v>
      </c>
    </row>
    <row r="23" spans="2:4" x14ac:dyDescent="0.2">
      <c r="B23" s="6">
        <v>6</v>
      </c>
      <c r="C23" s="7" t="s">
        <v>96</v>
      </c>
      <c r="D23" s="7" t="s">
        <v>97</v>
      </c>
    </row>
    <row r="24" spans="2:4" ht="22.5" customHeight="1" x14ac:dyDescent="0.2">
      <c r="B24" s="6">
        <v>7</v>
      </c>
      <c r="C24" s="7" t="s">
        <v>98</v>
      </c>
      <c r="D24" s="7" t="s">
        <v>99</v>
      </c>
    </row>
    <row r="25" spans="2:4" x14ac:dyDescent="0.2">
      <c r="B25" s="6">
        <v>8</v>
      </c>
      <c r="C25" s="7" t="s">
        <v>80</v>
      </c>
      <c r="D25" s="7" t="s">
        <v>100</v>
      </c>
    </row>
    <row r="26" spans="2:4" x14ac:dyDescent="0.2">
      <c r="B26" s="6">
        <v>9</v>
      </c>
      <c r="C26" s="7" t="s">
        <v>101</v>
      </c>
      <c r="D26" s="7" t="s">
        <v>102</v>
      </c>
    </row>
    <row r="27" spans="2:4" x14ac:dyDescent="0.2">
      <c r="B27" s="6">
        <v>10</v>
      </c>
      <c r="C27" s="7" t="s">
        <v>103</v>
      </c>
      <c r="D27" s="7" t="s">
        <v>104</v>
      </c>
    </row>
    <row r="28" spans="2:4" x14ac:dyDescent="0.2">
      <c r="B28" s="6">
        <v>11</v>
      </c>
      <c r="C28" s="7" t="s">
        <v>105</v>
      </c>
      <c r="D28" s="7" t="s">
        <v>106</v>
      </c>
    </row>
    <row r="29" spans="2:4" x14ac:dyDescent="0.2">
      <c r="B29" s="6">
        <v>12</v>
      </c>
      <c r="C29" s="7" t="s">
        <v>107</v>
      </c>
      <c r="D29" s="7" t="s">
        <v>108</v>
      </c>
    </row>
    <row r="30" spans="2:4" x14ac:dyDescent="0.2">
      <c r="B30" s="6">
        <v>13</v>
      </c>
      <c r="C30" s="7" t="s">
        <v>109</v>
      </c>
      <c r="D30" s="7" t="s">
        <v>110</v>
      </c>
    </row>
    <row r="31" spans="2:4" x14ac:dyDescent="0.2">
      <c r="B31" s="6">
        <v>14</v>
      </c>
      <c r="C31" s="7" t="s">
        <v>111</v>
      </c>
      <c r="D31" s="7" t="s">
        <v>112</v>
      </c>
    </row>
    <row r="32" spans="2:4" ht="22.5" customHeight="1" x14ac:dyDescent="0.2">
      <c r="B32" s="6">
        <v>15</v>
      </c>
      <c r="C32" s="7" t="s">
        <v>113</v>
      </c>
      <c r="D32" s="7" t="s">
        <v>114</v>
      </c>
    </row>
    <row r="33" spans="2:4" x14ac:dyDescent="0.2">
      <c r="B33" s="6">
        <v>16</v>
      </c>
      <c r="C33" s="7" t="s">
        <v>115</v>
      </c>
      <c r="D33" s="7" t="s">
        <v>116</v>
      </c>
    </row>
    <row r="34" spans="2:4" ht="45" customHeight="1" x14ac:dyDescent="0.2">
      <c r="B34" s="6">
        <v>17</v>
      </c>
      <c r="C34" s="7" t="s">
        <v>117</v>
      </c>
      <c r="D34" s="7" t="s">
        <v>118</v>
      </c>
    </row>
    <row r="35" spans="2:4" x14ac:dyDescent="0.2">
      <c r="B35" s="6">
        <v>18</v>
      </c>
      <c r="C35" s="7" t="s">
        <v>119</v>
      </c>
      <c r="D35" s="7" t="s">
        <v>120</v>
      </c>
    </row>
    <row r="36" spans="2:4" ht="22.5" customHeight="1" x14ac:dyDescent="0.2">
      <c r="B36" s="6">
        <v>19</v>
      </c>
      <c r="C36" s="7" t="s">
        <v>121</v>
      </c>
      <c r="D36" s="7" t="s">
        <v>122</v>
      </c>
    </row>
    <row r="37" spans="2:4" x14ac:dyDescent="0.2">
      <c r="B37" s="6">
        <v>20</v>
      </c>
      <c r="C37" s="7" t="s">
        <v>123</v>
      </c>
      <c r="D37" s="7" t="s">
        <v>124</v>
      </c>
    </row>
    <row r="38" spans="2:4" ht="56.25" customHeight="1" x14ac:dyDescent="0.2">
      <c r="B38" s="6">
        <v>21</v>
      </c>
      <c r="C38" s="7" t="s">
        <v>125</v>
      </c>
      <c r="D38" s="7" t="s">
        <v>126</v>
      </c>
    </row>
    <row r="39" spans="2:4" x14ac:dyDescent="0.2">
      <c r="B39" s="6">
        <v>22</v>
      </c>
      <c r="C39" s="7" t="s">
        <v>127</v>
      </c>
      <c r="D39" s="7" t="s">
        <v>128</v>
      </c>
    </row>
    <row r="40" spans="2:4" x14ac:dyDescent="0.2">
      <c r="B40" s="6">
        <v>23</v>
      </c>
      <c r="C40" s="7" t="s">
        <v>129</v>
      </c>
      <c r="D40" s="7" t="s">
        <v>130</v>
      </c>
    </row>
    <row r="41" spans="2:4" x14ac:dyDescent="0.2">
      <c r="B41" s="6">
        <v>24</v>
      </c>
      <c r="C41" s="7" t="s">
        <v>131</v>
      </c>
      <c r="D41" s="7" t="s">
        <v>132</v>
      </c>
    </row>
  </sheetData>
  <mergeCells count="3">
    <mergeCell ref="B17:D17"/>
    <mergeCell ref="B1:D1"/>
    <mergeCell ref="B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P14"/>
  <sheetViews>
    <sheetView workbookViewId="0"/>
  </sheetViews>
  <sheetFormatPr baseColWidth="10" defaultColWidth="19.140625" defaultRowHeight="11.25" x14ac:dyDescent="0.2"/>
  <cols>
    <col min="1" max="2" width="19.140625" style="2" customWidth="1"/>
    <col min="3" max="3" width="7.42578125" style="2" customWidth="1"/>
    <col min="4" max="4" width="6.85546875" style="2" customWidth="1"/>
    <col min="5" max="5" width="7.42578125" style="2" customWidth="1"/>
    <col min="6" max="6" width="6.140625" style="2" customWidth="1"/>
    <col min="7" max="7" width="6.85546875" style="2" customWidth="1"/>
    <col min="8" max="8" width="7.42578125" style="2" customWidth="1"/>
    <col min="9" max="9" width="6.140625" style="2" customWidth="1"/>
    <col min="10" max="10" width="6.85546875" style="2" customWidth="1"/>
    <col min="11" max="11" width="7.42578125" style="2" customWidth="1"/>
    <col min="12" max="12" width="6.140625" style="2" customWidth="1"/>
    <col min="13" max="13" width="19.7109375" style="2" customWidth="1"/>
    <col min="14" max="14" width="3" style="2" customWidth="1"/>
    <col min="15" max="15" width="3.5703125" style="2" customWidth="1"/>
    <col min="16" max="16" width="7.140625" style="2" customWidth="1"/>
    <col min="17" max="17" width="19.140625" style="2" customWidth="1"/>
    <col min="18" max="16384" width="19.140625" style="2"/>
  </cols>
  <sheetData>
    <row r="3" spans="2:16" ht="12.75" x14ac:dyDescent="0.2">
      <c r="B3" s="101" t="s">
        <v>133</v>
      </c>
      <c r="C3" s="102"/>
      <c r="D3" s="102"/>
      <c r="E3" s="102"/>
      <c r="F3" s="102"/>
      <c r="G3" s="102"/>
      <c r="H3" s="102"/>
      <c r="I3" s="102"/>
      <c r="J3" s="102"/>
      <c r="K3" s="102"/>
      <c r="L3" s="102"/>
      <c r="M3" s="10"/>
      <c r="N3" s="103" t="s">
        <v>134</v>
      </c>
      <c r="O3" s="99"/>
      <c r="P3" s="84"/>
    </row>
    <row r="4" spans="2:16" ht="12.75" x14ac:dyDescent="0.2">
      <c r="B4" s="97" t="s">
        <v>103</v>
      </c>
      <c r="C4" s="84"/>
      <c r="D4" s="98" t="s">
        <v>16</v>
      </c>
      <c r="E4" s="99"/>
      <c r="F4" s="84"/>
      <c r="G4" s="98" t="s">
        <v>14</v>
      </c>
      <c r="H4" s="99"/>
      <c r="I4" s="84"/>
      <c r="J4" s="98" t="s">
        <v>12</v>
      </c>
      <c r="K4" s="99"/>
      <c r="L4" s="84"/>
      <c r="M4" s="10"/>
      <c r="N4" s="9">
        <v>1</v>
      </c>
      <c r="O4" s="9">
        <v>3</v>
      </c>
      <c r="P4" s="13" t="s">
        <v>135</v>
      </c>
    </row>
    <row r="5" spans="2:16" ht="12.75" x14ac:dyDescent="0.2">
      <c r="B5" s="97" t="s">
        <v>136</v>
      </c>
      <c r="C5" s="84"/>
      <c r="D5" s="9" t="s">
        <v>137</v>
      </c>
      <c r="E5" s="9" t="s">
        <v>14</v>
      </c>
      <c r="F5" s="9" t="s">
        <v>12</v>
      </c>
      <c r="G5" s="9" t="s">
        <v>137</v>
      </c>
      <c r="H5" s="9" t="s">
        <v>14</v>
      </c>
      <c r="I5" s="9" t="s">
        <v>12</v>
      </c>
      <c r="J5" s="9" t="s">
        <v>137</v>
      </c>
      <c r="K5" s="9" t="s">
        <v>14</v>
      </c>
      <c r="L5" s="9" t="s">
        <v>12</v>
      </c>
      <c r="M5" s="10"/>
      <c r="N5" s="9">
        <v>4</v>
      </c>
      <c r="O5" s="9">
        <v>8</v>
      </c>
      <c r="P5" s="14" t="s">
        <v>138</v>
      </c>
    </row>
    <row r="6" spans="2:16" ht="11.25" customHeight="1" x14ac:dyDescent="0.2">
      <c r="B6" s="104" t="s">
        <v>139</v>
      </c>
      <c r="C6" s="11" t="s">
        <v>137</v>
      </c>
      <c r="D6" s="15">
        <v>1</v>
      </c>
      <c r="E6" s="15">
        <v>2</v>
      </c>
      <c r="F6" s="15">
        <v>3</v>
      </c>
      <c r="G6" s="15">
        <v>2</v>
      </c>
      <c r="H6" s="16">
        <v>4</v>
      </c>
      <c r="I6" s="16">
        <v>6</v>
      </c>
      <c r="J6" s="15">
        <v>3</v>
      </c>
      <c r="K6" s="16">
        <v>6</v>
      </c>
      <c r="L6" s="17">
        <v>9</v>
      </c>
      <c r="M6" s="10"/>
      <c r="N6" s="9">
        <v>9</v>
      </c>
      <c r="O6" s="9">
        <v>27</v>
      </c>
      <c r="P6" s="18" t="s">
        <v>140</v>
      </c>
    </row>
    <row r="7" spans="2:16" x14ac:dyDescent="0.2">
      <c r="B7" s="105"/>
      <c r="C7" s="11" t="s">
        <v>14</v>
      </c>
      <c r="D7" s="15">
        <v>2</v>
      </c>
      <c r="E7" s="16">
        <v>4</v>
      </c>
      <c r="F7" s="16">
        <v>6</v>
      </c>
      <c r="G7" s="16">
        <v>4</v>
      </c>
      <c r="H7" s="16">
        <v>8</v>
      </c>
      <c r="I7" s="17">
        <v>12</v>
      </c>
      <c r="J7" s="16">
        <v>6</v>
      </c>
      <c r="K7" s="17">
        <v>12</v>
      </c>
      <c r="L7" s="17">
        <v>18</v>
      </c>
      <c r="M7" s="10"/>
      <c r="N7" s="10"/>
      <c r="O7" s="10"/>
      <c r="P7" s="10"/>
    </row>
    <row r="8" spans="2:16" x14ac:dyDescent="0.2">
      <c r="B8" s="106"/>
      <c r="C8" s="11" t="s">
        <v>12</v>
      </c>
      <c r="D8" s="15">
        <v>3</v>
      </c>
      <c r="E8" s="16">
        <v>6</v>
      </c>
      <c r="F8" s="17">
        <v>9</v>
      </c>
      <c r="G8" s="16">
        <v>6</v>
      </c>
      <c r="H8" s="17">
        <v>12</v>
      </c>
      <c r="I8" s="17">
        <v>18</v>
      </c>
      <c r="J8" s="17">
        <v>9</v>
      </c>
      <c r="K8" s="17">
        <v>18</v>
      </c>
      <c r="L8" s="17">
        <v>27</v>
      </c>
      <c r="M8" s="10"/>
      <c r="N8" s="10"/>
      <c r="O8" s="10"/>
      <c r="P8" s="10"/>
    </row>
    <row r="9" spans="2:16" x14ac:dyDescent="0.2">
      <c r="B9" s="10"/>
      <c r="C9" s="10"/>
      <c r="D9" s="10"/>
      <c r="E9" s="10"/>
      <c r="F9" s="10"/>
      <c r="G9" s="10"/>
      <c r="H9" s="10"/>
      <c r="I9" s="10"/>
      <c r="J9" s="10"/>
      <c r="K9" s="10"/>
      <c r="L9" s="10"/>
      <c r="M9" s="10"/>
      <c r="N9" s="10"/>
      <c r="O9" s="10"/>
      <c r="P9" s="10"/>
    </row>
    <row r="10" spans="2:16" x14ac:dyDescent="0.2">
      <c r="B10" s="95" t="s">
        <v>141</v>
      </c>
      <c r="C10" s="86"/>
      <c r="D10" s="86"/>
      <c r="E10" s="86"/>
      <c r="F10" s="86"/>
      <c r="G10" s="86"/>
      <c r="H10" s="86"/>
      <c r="I10" s="86"/>
      <c r="J10" s="86"/>
      <c r="K10" s="86"/>
      <c r="L10" s="86"/>
      <c r="M10" s="10"/>
      <c r="N10" s="10"/>
      <c r="O10" s="10"/>
      <c r="P10" s="10"/>
    </row>
    <row r="11" spans="2:16" ht="42" customHeight="1" x14ac:dyDescent="0.2">
      <c r="B11" s="100" t="s">
        <v>142</v>
      </c>
      <c r="C11" s="86"/>
      <c r="D11" s="86"/>
      <c r="E11" s="86"/>
      <c r="F11" s="86"/>
      <c r="G11" s="86"/>
      <c r="H11" s="86"/>
      <c r="I11" s="86"/>
      <c r="J11" s="86"/>
      <c r="K11" s="86"/>
      <c r="L11" s="86"/>
      <c r="M11" s="10"/>
      <c r="N11" s="10"/>
      <c r="O11" s="10"/>
      <c r="P11" s="10"/>
    </row>
    <row r="12" spans="2:16" x14ac:dyDescent="0.2">
      <c r="B12" s="95" t="s">
        <v>143</v>
      </c>
      <c r="C12" s="86"/>
      <c r="D12" s="86"/>
      <c r="E12" s="86"/>
      <c r="F12" s="86"/>
      <c r="G12" s="86"/>
      <c r="H12" s="86"/>
      <c r="I12" s="86"/>
      <c r="J12" s="86"/>
      <c r="K12" s="86"/>
      <c r="L12" s="86"/>
      <c r="M12" s="10"/>
      <c r="N12" s="10"/>
      <c r="O12" s="10"/>
      <c r="P12" s="10"/>
    </row>
    <row r="13" spans="2:16" x14ac:dyDescent="0.2">
      <c r="B13" s="96" t="s">
        <v>144</v>
      </c>
      <c r="C13" s="86"/>
      <c r="D13" s="86"/>
      <c r="E13" s="86"/>
      <c r="F13" s="86"/>
      <c r="G13" s="86"/>
      <c r="H13" s="86"/>
      <c r="I13" s="86"/>
      <c r="J13" s="86"/>
      <c r="K13" s="86"/>
      <c r="L13" s="86"/>
      <c r="M13" s="10"/>
      <c r="N13" s="10"/>
      <c r="O13" s="10"/>
      <c r="P13" s="10"/>
    </row>
    <row r="14" spans="2:16" x14ac:dyDescent="0.2">
      <c r="B14" s="10"/>
      <c r="C14" s="10"/>
      <c r="D14" s="10"/>
      <c r="E14" s="10"/>
      <c r="F14" s="10"/>
      <c r="G14" s="10"/>
      <c r="H14" s="10"/>
      <c r="I14" s="10"/>
      <c r="J14" s="10"/>
      <c r="K14" s="10"/>
      <c r="L14" s="10"/>
      <c r="M14" s="10"/>
      <c r="N14" s="10"/>
      <c r="O14" s="10"/>
      <c r="P14" s="10"/>
    </row>
  </sheetData>
  <mergeCells count="12">
    <mergeCell ref="B3:L3"/>
    <mergeCell ref="N3:P3"/>
    <mergeCell ref="G4:I4"/>
    <mergeCell ref="B10:L10"/>
    <mergeCell ref="J4:L4"/>
    <mergeCell ref="B4:C4"/>
    <mergeCell ref="B6:B8"/>
    <mergeCell ref="B12:L12"/>
    <mergeCell ref="B13:L13"/>
    <mergeCell ref="B5:C5"/>
    <mergeCell ref="D4:F4"/>
    <mergeCell ref="B11:L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I27"/>
  <sheetViews>
    <sheetView topLeftCell="A3" workbookViewId="0"/>
  </sheetViews>
  <sheetFormatPr baseColWidth="10" defaultRowHeight="12.75" x14ac:dyDescent="0.2"/>
  <cols>
    <col min="2" max="2" width="7.42578125" customWidth="1"/>
    <col min="3" max="3" width="43.7109375" customWidth="1"/>
    <col min="4" max="4" width="16.42578125" hidden="1" customWidth="1"/>
    <col min="5" max="5" width="14.85546875" hidden="1" customWidth="1"/>
    <col min="6" max="7" width="24.5703125" customWidth="1"/>
    <col min="8" max="8" width="26" customWidth="1"/>
    <col min="9" max="9" width="23.28515625" hidden="1" customWidth="1"/>
    <col min="10" max="10" width="25.5703125" customWidth="1"/>
    <col min="11" max="11" width="25.42578125" style="5" customWidth="1"/>
    <col min="12" max="12" width="5.7109375" style="5" customWidth="1"/>
    <col min="13" max="15" width="5.7109375" customWidth="1"/>
  </cols>
  <sheetData>
    <row r="1" spans="2:35" x14ac:dyDescent="0.2">
      <c r="E1" s="2"/>
      <c r="F1" s="3"/>
      <c r="G1" s="3"/>
      <c r="H1" s="3"/>
    </row>
    <row r="2" spans="2:35" x14ac:dyDescent="0.2">
      <c r="E2" s="2"/>
      <c r="F2" s="3"/>
      <c r="G2" s="3"/>
      <c r="H2" s="3"/>
    </row>
    <row r="3" spans="2:35" ht="15.75" customHeight="1" x14ac:dyDescent="0.25">
      <c r="B3" s="115" t="s">
        <v>145</v>
      </c>
      <c r="C3" s="116"/>
      <c r="D3" s="116"/>
      <c r="E3" s="116"/>
      <c r="F3" s="116"/>
      <c r="G3" s="116"/>
      <c r="H3" s="116"/>
      <c r="I3" s="116"/>
      <c r="J3" s="116"/>
      <c r="K3" s="117"/>
      <c r="L3" s="117"/>
      <c r="M3" s="116"/>
      <c r="N3" s="116"/>
      <c r="O3" s="116"/>
    </row>
    <row r="4" spans="2:35" x14ac:dyDescent="0.2">
      <c r="B4" s="120" t="s">
        <v>146</v>
      </c>
      <c r="C4" s="116"/>
      <c r="D4" s="116"/>
      <c r="E4" s="116"/>
      <c r="F4" s="116"/>
      <c r="G4" s="116"/>
      <c r="H4" s="116"/>
      <c r="I4" s="116"/>
      <c r="J4" s="116"/>
      <c r="K4" s="117"/>
      <c r="L4" s="117"/>
      <c r="M4" s="116"/>
    </row>
    <row r="5" spans="2:35" ht="25.5" customHeight="1" x14ac:dyDescent="0.2">
      <c r="B5" s="113" t="s">
        <v>62</v>
      </c>
      <c r="C5" s="113" t="s">
        <v>147</v>
      </c>
      <c r="D5" s="113" t="s">
        <v>66</v>
      </c>
      <c r="E5" s="110" t="s">
        <v>148</v>
      </c>
      <c r="F5" s="118" t="s">
        <v>149</v>
      </c>
      <c r="G5" s="110" t="s">
        <v>150</v>
      </c>
      <c r="H5" s="110" t="s">
        <v>151</v>
      </c>
      <c r="I5" s="110" t="s">
        <v>152</v>
      </c>
      <c r="J5" s="110" t="s">
        <v>153</v>
      </c>
      <c r="K5" s="110" t="s">
        <v>78</v>
      </c>
      <c r="L5" s="107" t="s">
        <v>154</v>
      </c>
      <c r="M5" s="108"/>
      <c r="N5" s="108"/>
      <c r="O5" s="109"/>
    </row>
    <row r="6" spans="2:35" ht="43.5" customHeight="1" x14ac:dyDescent="0.2">
      <c r="B6" s="111"/>
      <c r="C6" s="111"/>
      <c r="D6" s="111"/>
      <c r="E6" s="111"/>
      <c r="F6" s="111"/>
      <c r="G6" s="111"/>
      <c r="H6" s="111"/>
      <c r="I6" s="111"/>
      <c r="J6" s="111"/>
      <c r="K6" s="111"/>
      <c r="L6" s="114" t="s">
        <v>155</v>
      </c>
      <c r="M6" s="108"/>
      <c r="N6" s="108"/>
      <c r="O6" s="109"/>
      <c r="AI6" s="1" t="s">
        <v>156</v>
      </c>
    </row>
    <row r="7" spans="2:35" x14ac:dyDescent="0.2">
      <c r="B7" s="112"/>
      <c r="C7" s="112"/>
      <c r="D7" s="112"/>
      <c r="E7" s="112"/>
      <c r="F7" s="119"/>
      <c r="G7" s="112"/>
      <c r="H7" s="112"/>
      <c r="I7" s="112"/>
      <c r="J7" s="112"/>
      <c r="K7" s="112"/>
      <c r="L7" s="55" t="s">
        <v>157</v>
      </c>
      <c r="M7" s="55" t="s">
        <v>158</v>
      </c>
      <c r="N7" s="55" t="s">
        <v>159</v>
      </c>
      <c r="O7" s="55" t="s">
        <v>160</v>
      </c>
      <c r="AI7" s="1" t="s">
        <v>161</v>
      </c>
    </row>
    <row r="8" spans="2:35" ht="43.15" customHeight="1" x14ac:dyDescent="0.2">
      <c r="B8" s="56" t="s">
        <v>162</v>
      </c>
      <c r="C8" s="23" t="s">
        <v>163</v>
      </c>
      <c r="D8" s="23" t="s">
        <v>164</v>
      </c>
      <c r="E8" s="23" t="s">
        <v>165</v>
      </c>
      <c r="F8" s="23" t="s">
        <v>166</v>
      </c>
      <c r="G8" s="23" t="s">
        <v>167</v>
      </c>
      <c r="H8" s="23" t="s">
        <v>168</v>
      </c>
      <c r="I8" s="23" t="s">
        <v>169</v>
      </c>
      <c r="J8" s="23" t="s">
        <v>170</v>
      </c>
      <c r="K8" s="23" t="s">
        <v>171</v>
      </c>
      <c r="L8" s="56">
        <v>3</v>
      </c>
      <c r="M8" s="56">
        <v>3</v>
      </c>
      <c r="N8" s="56">
        <v>2</v>
      </c>
      <c r="O8" s="57">
        <f t="shared" ref="O8:O19" si="0">IF(COUNTA(L8:N8)=0,"",(L8+M8+N8)/3)</f>
        <v>2.6666666666666665</v>
      </c>
      <c r="P8" s="8"/>
      <c r="AI8" s="1" t="s">
        <v>170</v>
      </c>
    </row>
    <row r="9" spans="2:35" ht="43.15" customHeight="1" x14ac:dyDescent="0.2">
      <c r="B9" s="56" t="s">
        <v>172</v>
      </c>
      <c r="C9" s="23" t="s">
        <v>163</v>
      </c>
      <c r="D9" s="23" t="s">
        <v>173</v>
      </c>
      <c r="E9" s="23" t="s">
        <v>174</v>
      </c>
      <c r="F9" s="23" t="s">
        <v>175</v>
      </c>
      <c r="G9" s="23" t="s">
        <v>176</v>
      </c>
      <c r="H9" s="23" t="s">
        <v>177</v>
      </c>
      <c r="I9" s="23" t="s">
        <v>178</v>
      </c>
      <c r="J9" s="23" t="s">
        <v>170</v>
      </c>
      <c r="K9" s="23" t="s">
        <v>179</v>
      </c>
      <c r="L9" s="56">
        <v>3</v>
      </c>
      <c r="M9" s="56">
        <v>3</v>
      </c>
      <c r="N9" s="56">
        <v>2</v>
      </c>
      <c r="O9" s="57">
        <f t="shared" si="0"/>
        <v>2.6666666666666665</v>
      </c>
      <c r="P9" s="8"/>
      <c r="AI9" t="s">
        <v>180</v>
      </c>
    </row>
    <row r="10" spans="2:35" ht="43.15" customHeight="1" x14ac:dyDescent="0.2">
      <c r="B10" s="56" t="s">
        <v>181</v>
      </c>
      <c r="C10" s="23" t="s">
        <v>163</v>
      </c>
      <c r="D10" s="23" t="s">
        <v>182</v>
      </c>
      <c r="E10" s="23" t="s">
        <v>183</v>
      </c>
      <c r="F10" s="23" t="s">
        <v>184</v>
      </c>
      <c r="G10" s="23" t="s">
        <v>185</v>
      </c>
      <c r="H10" s="23" t="s">
        <v>186</v>
      </c>
      <c r="I10" s="58" t="s">
        <v>187</v>
      </c>
      <c r="J10" s="23" t="s">
        <v>170</v>
      </c>
      <c r="K10" s="23" t="s">
        <v>188</v>
      </c>
      <c r="L10" s="56">
        <v>3</v>
      </c>
      <c r="M10" s="56">
        <v>3</v>
      </c>
      <c r="N10" s="56">
        <v>2</v>
      </c>
      <c r="O10" s="57">
        <f t="shared" si="0"/>
        <v>2.6666666666666665</v>
      </c>
      <c r="P10" s="8"/>
    </row>
    <row r="11" spans="2:35" ht="32.450000000000003" customHeight="1" x14ac:dyDescent="0.2">
      <c r="B11" s="56" t="s">
        <v>189</v>
      </c>
      <c r="C11" s="23" t="s">
        <v>163</v>
      </c>
      <c r="D11" s="23" t="s">
        <v>190</v>
      </c>
      <c r="E11" s="23" t="s">
        <v>191</v>
      </c>
      <c r="F11" s="23" t="s">
        <v>192</v>
      </c>
      <c r="G11" s="23" t="s">
        <v>193</v>
      </c>
      <c r="H11" s="23" t="s">
        <v>194</v>
      </c>
      <c r="I11" s="58" t="s">
        <v>195</v>
      </c>
      <c r="J11" s="23" t="s">
        <v>196</v>
      </c>
      <c r="K11" s="23" t="s">
        <v>197</v>
      </c>
      <c r="L11" s="56">
        <v>3</v>
      </c>
      <c r="M11" s="56">
        <v>3</v>
      </c>
      <c r="N11" s="56">
        <v>2</v>
      </c>
      <c r="O11" s="57">
        <f t="shared" si="0"/>
        <v>2.6666666666666665</v>
      </c>
      <c r="P11" s="8"/>
    </row>
    <row r="12" spans="2:35" ht="32.450000000000003" customHeight="1" x14ac:dyDescent="0.2">
      <c r="B12" s="56" t="s">
        <v>198</v>
      </c>
      <c r="C12" s="23" t="s">
        <v>163</v>
      </c>
      <c r="D12" s="23" t="s">
        <v>199</v>
      </c>
      <c r="E12" s="23" t="s">
        <v>200</v>
      </c>
      <c r="F12" s="23" t="s">
        <v>201</v>
      </c>
      <c r="G12" s="23" t="s">
        <v>202</v>
      </c>
      <c r="H12" s="23" t="s">
        <v>203</v>
      </c>
      <c r="I12" s="23" t="s">
        <v>204</v>
      </c>
      <c r="J12" s="23" t="s">
        <v>170</v>
      </c>
      <c r="K12" s="23" t="s">
        <v>205</v>
      </c>
      <c r="L12" s="56">
        <v>2</v>
      </c>
      <c r="M12" s="56">
        <v>3</v>
      </c>
      <c r="N12" s="56">
        <v>3</v>
      </c>
      <c r="O12" s="57">
        <f t="shared" si="0"/>
        <v>2.6666666666666665</v>
      </c>
      <c r="P12" s="8"/>
    </row>
    <row r="13" spans="2:35" ht="43.15" customHeight="1" x14ac:dyDescent="0.2">
      <c r="B13" s="56" t="s">
        <v>206</v>
      </c>
      <c r="C13" s="23" t="s">
        <v>163</v>
      </c>
      <c r="D13" s="23" t="s">
        <v>207</v>
      </c>
      <c r="E13" s="23" t="s">
        <v>208</v>
      </c>
      <c r="F13" s="23" t="s">
        <v>209</v>
      </c>
      <c r="G13" s="23" t="s">
        <v>210</v>
      </c>
      <c r="H13" s="23" t="s">
        <v>211</v>
      </c>
      <c r="I13" s="23" t="s">
        <v>212</v>
      </c>
      <c r="J13" s="23" t="s">
        <v>170</v>
      </c>
      <c r="K13" s="23" t="s">
        <v>213</v>
      </c>
      <c r="L13" s="56">
        <v>3</v>
      </c>
      <c r="M13" s="56">
        <v>3</v>
      </c>
      <c r="N13" s="56">
        <v>3</v>
      </c>
      <c r="O13" s="57">
        <f t="shared" si="0"/>
        <v>3</v>
      </c>
      <c r="P13" s="8"/>
    </row>
    <row r="14" spans="2:35" ht="43.15" customHeight="1" x14ac:dyDescent="0.2">
      <c r="B14" s="56" t="s">
        <v>214</v>
      </c>
      <c r="C14" s="23" t="s">
        <v>163</v>
      </c>
      <c r="D14" s="23" t="s">
        <v>215</v>
      </c>
      <c r="E14" s="23" t="s">
        <v>200</v>
      </c>
      <c r="F14" s="23" t="s">
        <v>216</v>
      </c>
      <c r="G14" s="23" t="s">
        <v>217</v>
      </c>
      <c r="H14" s="23" t="s">
        <v>218</v>
      </c>
      <c r="I14" s="23" t="s">
        <v>219</v>
      </c>
      <c r="J14" s="23" t="s">
        <v>170</v>
      </c>
      <c r="K14" s="23" t="s">
        <v>220</v>
      </c>
      <c r="L14" s="56">
        <v>3</v>
      </c>
      <c r="M14" s="56">
        <v>3</v>
      </c>
      <c r="N14" s="56">
        <v>3</v>
      </c>
      <c r="O14" s="57">
        <f t="shared" si="0"/>
        <v>3</v>
      </c>
      <c r="P14" s="8"/>
    </row>
    <row r="15" spans="2:35" ht="43.15" customHeight="1" x14ac:dyDescent="0.2">
      <c r="B15" s="56" t="s">
        <v>221</v>
      </c>
      <c r="C15" s="23" t="s">
        <v>163</v>
      </c>
      <c r="D15" s="23" t="s">
        <v>222</v>
      </c>
      <c r="E15" s="23" t="s">
        <v>191</v>
      </c>
      <c r="F15" s="23" t="s">
        <v>223</v>
      </c>
      <c r="G15" s="23" t="s">
        <v>224</v>
      </c>
      <c r="H15" s="23" t="s">
        <v>225</v>
      </c>
      <c r="I15" s="70" t="s">
        <v>226</v>
      </c>
      <c r="J15" s="23" t="s">
        <v>170</v>
      </c>
      <c r="K15" s="23" t="s">
        <v>227</v>
      </c>
      <c r="L15" s="56">
        <v>3</v>
      </c>
      <c r="M15" s="56">
        <v>3</v>
      </c>
      <c r="N15" s="56">
        <v>2</v>
      </c>
      <c r="O15" s="57">
        <f t="shared" si="0"/>
        <v>2.6666666666666665</v>
      </c>
      <c r="P15" s="8"/>
    </row>
    <row r="16" spans="2:35" ht="43.15" customHeight="1" x14ac:dyDescent="0.2">
      <c r="B16" s="56" t="s">
        <v>228</v>
      </c>
      <c r="C16" s="23" t="s">
        <v>163</v>
      </c>
      <c r="D16" s="23" t="s">
        <v>229</v>
      </c>
      <c r="E16" s="23" t="s">
        <v>208</v>
      </c>
      <c r="F16" s="23" t="s">
        <v>230</v>
      </c>
      <c r="G16" s="23" t="s">
        <v>210</v>
      </c>
      <c r="H16" s="23" t="s">
        <v>231</v>
      </c>
      <c r="I16" s="23" t="s">
        <v>232</v>
      </c>
      <c r="J16" s="23" t="s">
        <v>170</v>
      </c>
      <c r="K16" s="23" t="s">
        <v>233</v>
      </c>
      <c r="L16" s="56">
        <v>2</v>
      </c>
      <c r="M16" s="56">
        <v>3</v>
      </c>
      <c r="N16" s="56">
        <v>3</v>
      </c>
      <c r="O16" s="57">
        <f t="shared" si="0"/>
        <v>2.6666666666666665</v>
      </c>
      <c r="P16" s="8"/>
    </row>
    <row r="17" spans="2:16" ht="32.450000000000003" customHeight="1" x14ac:dyDescent="0.2">
      <c r="B17" s="56" t="s">
        <v>234</v>
      </c>
      <c r="C17" s="23" t="s">
        <v>163</v>
      </c>
      <c r="D17" s="23" t="s">
        <v>235</v>
      </c>
      <c r="E17" s="23" t="s">
        <v>191</v>
      </c>
      <c r="F17" s="23" t="s">
        <v>236</v>
      </c>
      <c r="G17" s="23" t="s">
        <v>237</v>
      </c>
      <c r="H17" s="23" t="s">
        <v>238</v>
      </c>
      <c r="I17" s="23" t="s">
        <v>239</v>
      </c>
      <c r="J17" s="23" t="s">
        <v>170</v>
      </c>
      <c r="K17" s="23" t="s">
        <v>240</v>
      </c>
      <c r="L17" s="56">
        <v>2</v>
      </c>
      <c r="M17" s="56">
        <v>3</v>
      </c>
      <c r="N17" s="56">
        <v>2</v>
      </c>
      <c r="O17" s="57">
        <f t="shared" si="0"/>
        <v>2.3333333333333335</v>
      </c>
      <c r="P17" s="8"/>
    </row>
    <row r="18" spans="2:16" ht="43.15" customHeight="1" x14ac:dyDescent="0.2">
      <c r="B18" s="56" t="s">
        <v>241</v>
      </c>
      <c r="C18" s="23" t="s">
        <v>163</v>
      </c>
      <c r="D18" s="71" t="s">
        <v>242</v>
      </c>
      <c r="E18" s="23" t="s">
        <v>208</v>
      </c>
      <c r="F18" s="23" t="s">
        <v>243</v>
      </c>
      <c r="G18" s="23" t="s">
        <v>244</v>
      </c>
      <c r="H18" s="23" t="s">
        <v>245</v>
      </c>
      <c r="I18" s="23" t="s">
        <v>246</v>
      </c>
      <c r="J18" s="23" t="s">
        <v>247</v>
      </c>
      <c r="K18" s="23" t="s">
        <v>248</v>
      </c>
      <c r="L18" s="56">
        <v>2</v>
      </c>
      <c r="M18" s="56">
        <v>3</v>
      </c>
      <c r="N18" s="56">
        <v>3</v>
      </c>
      <c r="O18" s="57">
        <f t="shared" si="0"/>
        <v>2.6666666666666665</v>
      </c>
      <c r="P18" s="8"/>
    </row>
    <row r="19" spans="2:16" ht="43.15" customHeight="1" x14ac:dyDescent="0.2">
      <c r="B19" s="56" t="s">
        <v>249</v>
      </c>
      <c r="C19" s="23" t="s">
        <v>163</v>
      </c>
      <c r="D19" s="23" t="s">
        <v>250</v>
      </c>
      <c r="E19" s="23" t="s">
        <v>208</v>
      </c>
      <c r="F19" s="23" t="s">
        <v>251</v>
      </c>
      <c r="G19" s="23" t="s">
        <v>202</v>
      </c>
      <c r="H19" s="23" t="s">
        <v>252</v>
      </c>
      <c r="I19" s="23" t="s">
        <v>253</v>
      </c>
      <c r="J19" s="23" t="s">
        <v>170</v>
      </c>
      <c r="K19" s="23" t="s">
        <v>254</v>
      </c>
      <c r="L19" s="56">
        <v>2</v>
      </c>
      <c r="M19" s="56">
        <v>3</v>
      </c>
      <c r="N19" s="56">
        <v>2</v>
      </c>
      <c r="O19" s="57">
        <f t="shared" si="0"/>
        <v>2.3333333333333335</v>
      </c>
      <c r="P19" s="8"/>
    </row>
    <row r="20" spans="2:16" ht="43.15" customHeight="1" x14ac:dyDescent="0.2">
      <c r="B20" s="71" t="s">
        <v>255</v>
      </c>
      <c r="C20" s="23" t="s">
        <v>163</v>
      </c>
      <c r="D20" s="23" t="s">
        <v>256</v>
      </c>
      <c r="E20" s="23" t="s">
        <v>257</v>
      </c>
      <c r="F20" s="23" t="s">
        <v>258</v>
      </c>
      <c r="G20" s="23" t="s">
        <v>259</v>
      </c>
      <c r="H20" s="23" t="s">
        <v>260</v>
      </c>
      <c r="I20" s="23" t="s">
        <v>261</v>
      </c>
      <c r="J20" s="23" t="s">
        <v>170</v>
      </c>
      <c r="K20" s="23" t="s">
        <v>179</v>
      </c>
      <c r="L20" s="71">
        <v>3</v>
      </c>
      <c r="M20" s="71">
        <v>3</v>
      </c>
      <c r="N20" s="71">
        <v>2</v>
      </c>
      <c r="O20" s="73">
        <f t="shared" ref="O20:O27" si="1">IF(COUNT(L20:N20)=0,"",AVERAGE(L20:N20))</f>
        <v>2.6666666666666665</v>
      </c>
      <c r="P20" s="8"/>
    </row>
    <row r="21" spans="2:16" ht="43.15" customHeight="1" x14ac:dyDescent="0.2">
      <c r="B21" s="71" t="s">
        <v>262</v>
      </c>
      <c r="C21" s="23" t="s">
        <v>163</v>
      </c>
      <c r="D21" s="23" t="s">
        <v>263</v>
      </c>
      <c r="E21" s="23" t="s">
        <v>264</v>
      </c>
      <c r="F21" s="23" t="s">
        <v>265</v>
      </c>
      <c r="G21" s="23" t="s">
        <v>266</v>
      </c>
      <c r="H21" s="23" t="s">
        <v>267</v>
      </c>
      <c r="I21" s="23" t="s">
        <v>268</v>
      </c>
      <c r="J21" s="23" t="s">
        <v>269</v>
      </c>
      <c r="K21" s="23" t="s">
        <v>270</v>
      </c>
      <c r="L21" s="71">
        <v>2</v>
      </c>
      <c r="M21" s="71">
        <v>3</v>
      </c>
      <c r="N21" s="71">
        <v>3</v>
      </c>
      <c r="O21" s="73">
        <f t="shared" si="1"/>
        <v>2.6666666666666665</v>
      </c>
      <c r="P21" s="8"/>
    </row>
    <row r="22" spans="2:16" ht="43.15" customHeight="1" x14ac:dyDescent="0.2">
      <c r="B22" s="71" t="s">
        <v>271</v>
      </c>
      <c r="C22" s="23" t="s">
        <v>163</v>
      </c>
      <c r="D22" s="23" t="s">
        <v>272</v>
      </c>
      <c r="E22" s="23" t="s">
        <v>202</v>
      </c>
      <c r="F22" s="23" t="s">
        <v>273</v>
      </c>
      <c r="G22" s="23" t="s">
        <v>202</v>
      </c>
      <c r="H22" s="23" t="s">
        <v>274</v>
      </c>
      <c r="I22" s="23" t="s">
        <v>275</v>
      </c>
      <c r="J22" s="23" t="s">
        <v>170</v>
      </c>
      <c r="K22" s="23" t="s">
        <v>276</v>
      </c>
      <c r="L22" s="71">
        <v>2</v>
      </c>
      <c r="M22" s="71">
        <v>3</v>
      </c>
      <c r="N22" s="71">
        <v>3</v>
      </c>
      <c r="O22" s="73">
        <f t="shared" si="1"/>
        <v>2.6666666666666665</v>
      </c>
    </row>
    <row r="23" spans="2:16" ht="43.15" customHeight="1" x14ac:dyDescent="0.2">
      <c r="B23" s="71" t="s">
        <v>277</v>
      </c>
      <c r="C23" s="23" t="s">
        <v>163</v>
      </c>
      <c r="D23" s="23" t="s">
        <v>278</v>
      </c>
      <c r="E23" s="23" t="s">
        <v>279</v>
      </c>
      <c r="F23" s="23" t="s">
        <v>280</v>
      </c>
      <c r="G23" s="23" t="s">
        <v>279</v>
      </c>
      <c r="H23" s="23" t="s">
        <v>281</v>
      </c>
      <c r="I23" s="23" t="s">
        <v>282</v>
      </c>
      <c r="J23" s="23" t="s">
        <v>170</v>
      </c>
      <c r="K23" s="23" t="s">
        <v>283</v>
      </c>
      <c r="L23" s="71">
        <v>3</v>
      </c>
      <c r="M23" s="71">
        <v>3</v>
      </c>
      <c r="N23" s="71">
        <v>2</v>
      </c>
      <c r="O23" s="73">
        <f t="shared" si="1"/>
        <v>2.6666666666666665</v>
      </c>
    </row>
    <row r="24" spans="2:16" ht="32.450000000000003" customHeight="1" x14ac:dyDescent="0.2">
      <c r="B24" s="71" t="s">
        <v>284</v>
      </c>
      <c r="C24" s="23" t="s">
        <v>163</v>
      </c>
      <c r="D24" s="23" t="s">
        <v>285</v>
      </c>
      <c r="E24" s="23" t="s">
        <v>286</v>
      </c>
      <c r="F24" s="23" t="s">
        <v>287</v>
      </c>
      <c r="G24" s="23" t="s">
        <v>286</v>
      </c>
      <c r="H24" s="23" t="s">
        <v>288</v>
      </c>
      <c r="I24" s="23" t="s">
        <v>289</v>
      </c>
      <c r="J24" s="23" t="s">
        <v>170</v>
      </c>
      <c r="K24" s="23" t="s">
        <v>290</v>
      </c>
      <c r="L24" s="71">
        <v>3</v>
      </c>
      <c r="M24" s="71">
        <v>3</v>
      </c>
      <c r="N24" s="71">
        <v>2</v>
      </c>
      <c r="O24" s="73">
        <f t="shared" si="1"/>
        <v>2.6666666666666665</v>
      </c>
    </row>
    <row r="25" spans="2:16" ht="43.15" customHeight="1" x14ac:dyDescent="0.2">
      <c r="B25" s="71" t="s">
        <v>291</v>
      </c>
      <c r="C25" s="23" t="s">
        <v>163</v>
      </c>
      <c r="D25" s="23" t="s">
        <v>292</v>
      </c>
      <c r="E25" s="23" t="s">
        <v>293</v>
      </c>
      <c r="F25" s="23" t="s">
        <v>294</v>
      </c>
      <c r="G25" s="23" t="s">
        <v>295</v>
      </c>
      <c r="H25" s="23" t="s">
        <v>296</v>
      </c>
      <c r="I25" s="23" t="s">
        <v>297</v>
      </c>
      <c r="J25" s="23" t="s">
        <v>170</v>
      </c>
      <c r="K25" s="23" t="s">
        <v>298</v>
      </c>
      <c r="L25" s="71">
        <v>3</v>
      </c>
      <c r="M25" s="71">
        <v>3</v>
      </c>
      <c r="N25" s="71">
        <v>2</v>
      </c>
      <c r="O25" s="73">
        <f t="shared" si="1"/>
        <v>2.6666666666666665</v>
      </c>
    </row>
    <row r="26" spans="2:16" ht="43.15" customHeight="1" x14ac:dyDescent="0.2">
      <c r="B26" s="71" t="s">
        <v>299</v>
      </c>
      <c r="C26" s="23" t="s">
        <v>163</v>
      </c>
      <c r="D26" s="23" t="s">
        <v>300</v>
      </c>
      <c r="E26" s="23" t="s">
        <v>301</v>
      </c>
      <c r="F26" s="23" t="s">
        <v>302</v>
      </c>
      <c r="G26" s="23" t="s">
        <v>224</v>
      </c>
      <c r="H26" s="23" t="s">
        <v>303</v>
      </c>
      <c r="I26" s="23" t="s">
        <v>304</v>
      </c>
      <c r="J26" s="23" t="s">
        <v>170</v>
      </c>
      <c r="K26" s="23" t="s">
        <v>305</v>
      </c>
      <c r="L26" s="71">
        <v>3</v>
      </c>
      <c r="M26" s="71">
        <v>3</v>
      </c>
      <c r="N26" s="71">
        <v>2</v>
      </c>
      <c r="O26" s="73">
        <f t="shared" si="1"/>
        <v>2.6666666666666665</v>
      </c>
    </row>
    <row r="27" spans="2:16" ht="54" customHeight="1" x14ac:dyDescent="0.2">
      <c r="B27" s="71" t="s">
        <v>306</v>
      </c>
      <c r="C27" s="23" t="s">
        <v>163</v>
      </c>
      <c r="D27" s="23" t="s">
        <v>307</v>
      </c>
      <c r="E27" s="23" t="s">
        <v>308</v>
      </c>
      <c r="F27" s="23" t="s">
        <v>309</v>
      </c>
      <c r="G27" s="23" t="s">
        <v>308</v>
      </c>
      <c r="H27" s="23" t="s">
        <v>310</v>
      </c>
      <c r="I27" s="23" t="s">
        <v>311</v>
      </c>
      <c r="J27" s="23" t="s">
        <v>170</v>
      </c>
      <c r="K27" s="23" t="s">
        <v>312</v>
      </c>
      <c r="L27" s="71">
        <v>2</v>
      </c>
      <c r="M27" s="71">
        <v>3</v>
      </c>
      <c r="N27" s="71">
        <v>2</v>
      </c>
      <c r="O27" s="73">
        <f t="shared" si="1"/>
        <v>2.3333333333333335</v>
      </c>
    </row>
  </sheetData>
  <mergeCells count="14">
    <mergeCell ref="L5:O5"/>
    <mergeCell ref="I5:I7"/>
    <mergeCell ref="D5:D7"/>
    <mergeCell ref="L6:O6"/>
    <mergeCell ref="B3:O3"/>
    <mergeCell ref="C5:C7"/>
    <mergeCell ref="E5:E7"/>
    <mergeCell ref="K5:K7"/>
    <mergeCell ref="H5:H7"/>
    <mergeCell ref="F5:F7"/>
    <mergeCell ref="B4:M4"/>
    <mergeCell ref="J5:J7"/>
    <mergeCell ref="G5:G7"/>
    <mergeCell ref="B5:B7"/>
  </mergeCells>
  <dataValidations count="3">
    <dataValidation type="whole" allowBlank="1" showInputMessage="1" showErrorMessage="1" error="El valorespermitidos entre 1 y 3" prompt="Alto (3)_x000a_Medio (2)_x000a_Bajo (1)" sqref="L8:N23" xr:uid="{00000000-0002-0000-0500-000000000000}">
      <formula1>1</formula1>
      <formula2>3</formula2>
    </dataValidation>
    <dataValidation type="list" allowBlank="1" showInputMessage="1" showErrorMessage="1" sqref="E8:E23" xr:uid="{00000000-0002-0000-0500-000001000000}">
      <formula1>#REF!</formula1>
    </dataValidation>
    <dataValidation type="list" allowBlank="1" showInputMessage="1" showErrorMessage="1" sqref="J8:J23" xr:uid="{00000000-0002-0000-0500-000002000000}">
      <formula1>$AI$6:$AI$9</formula1>
    </dataValidation>
  </dataValidation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248"/>
  <sheetViews>
    <sheetView tabSelected="1" topLeftCell="H16" workbookViewId="0">
      <selection activeCell="D24" sqref="D24"/>
    </sheetView>
  </sheetViews>
  <sheetFormatPr baseColWidth="10" defaultColWidth="11.42578125" defaultRowHeight="11.25" x14ac:dyDescent="0.2"/>
  <cols>
    <col min="1" max="1" width="16.28515625" style="10" customWidth="1"/>
    <col min="2" max="2" width="18.28515625" style="10" hidden="1" customWidth="1"/>
    <col min="3" max="3" width="9.7109375" style="48" customWidth="1"/>
    <col min="4" max="4" width="19.7109375" style="59" customWidth="1"/>
    <col min="5" max="5" width="21.28515625" style="10" customWidth="1"/>
    <col min="6" max="7" width="27" style="10" customWidth="1"/>
    <col min="8" max="8" width="8.140625" style="32" customWidth="1"/>
    <col min="9" max="9" width="10.7109375" style="10" customWidth="1"/>
    <col min="10" max="10" width="14.28515625" style="10" customWidth="1"/>
    <col min="11" max="11" width="16.42578125" style="10" customWidth="1"/>
    <col min="12" max="12" width="16.42578125" style="48" customWidth="1"/>
    <col min="13" max="13" width="10" style="10" customWidth="1"/>
    <col min="14" max="14" width="8.7109375" style="10" customWidth="1"/>
    <col min="15" max="15" width="23.140625" style="10" customWidth="1"/>
    <col min="16" max="16" width="14.7109375" style="10" customWidth="1"/>
    <col min="17" max="17" width="17.85546875" style="10" customWidth="1"/>
    <col min="18" max="18" width="9.42578125" style="10" customWidth="1"/>
    <col min="19" max="19" width="10.28515625" style="10" customWidth="1"/>
    <col min="20" max="20" width="14.5703125" style="10" customWidth="1"/>
    <col min="21" max="21" width="13.85546875" style="10" customWidth="1"/>
    <col min="22" max="22" width="13.5703125" style="10" customWidth="1"/>
    <col min="23" max="23" width="16" style="32" customWidth="1"/>
    <col min="24" max="24" width="14" style="32" customWidth="1"/>
    <col min="25" max="25" width="11.42578125" style="32" customWidth="1"/>
    <col min="26" max="26" width="17.85546875" style="32" customWidth="1"/>
    <col min="27" max="27" width="22" style="10" customWidth="1"/>
    <col min="28" max="28" width="11.42578125" style="10" customWidth="1"/>
    <col min="29" max="16384" width="11.42578125" style="10"/>
  </cols>
  <sheetData>
    <row r="1" spans="1:27" x14ac:dyDescent="0.2">
      <c r="W1" s="10"/>
      <c r="X1" s="10"/>
      <c r="Y1" s="10"/>
      <c r="Z1" s="10"/>
    </row>
    <row r="2" spans="1:27" ht="12.75" customHeight="1" x14ac:dyDescent="0.2">
      <c r="A2" s="134" t="s">
        <v>89</v>
      </c>
      <c r="B2" s="123"/>
      <c r="C2" s="123"/>
      <c r="D2" s="123"/>
      <c r="E2" s="123"/>
      <c r="F2" s="124"/>
      <c r="G2" s="67"/>
      <c r="H2" s="134" t="s">
        <v>98</v>
      </c>
      <c r="I2" s="99"/>
      <c r="J2" s="99"/>
      <c r="K2" s="99"/>
      <c r="L2" s="99"/>
      <c r="M2" s="99"/>
      <c r="N2" s="84"/>
      <c r="O2" s="122" t="s">
        <v>313</v>
      </c>
      <c r="P2" s="123"/>
      <c r="Q2" s="123"/>
      <c r="R2" s="123"/>
      <c r="S2" s="123"/>
      <c r="T2" s="123"/>
      <c r="U2" s="124"/>
      <c r="V2" s="137" t="s">
        <v>314</v>
      </c>
      <c r="W2" s="140" t="s">
        <v>315</v>
      </c>
      <c r="X2" s="141"/>
      <c r="Y2" s="141"/>
      <c r="Z2" s="142"/>
    </row>
    <row r="3" spans="1:27" s="25" customFormat="1" ht="22.5" customHeight="1" x14ac:dyDescent="0.2">
      <c r="A3" s="125"/>
      <c r="B3" s="102"/>
      <c r="C3" s="102"/>
      <c r="D3" s="102"/>
      <c r="E3" s="102"/>
      <c r="F3" s="126"/>
      <c r="G3" s="67"/>
      <c r="H3" s="24" t="s">
        <v>316</v>
      </c>
      <c r="I3" s="136" t="s">
        <v>101</v>
      </c>
      <c r="J3" s="84"/>
      <c r="K3" s="135" t="s">
        <v>317</v>
      </c>
      <c r="L3" s="28"/>
      <c r="M3" s="135" t="s">
        <v>318</v>
      </c>
      <c r="N3" s="122" t="s">
        <v>134</v>
      </c>
      <c r="O3" s="125"/>
      <c r="P3" s="102"/>
      <c r="Q3" s="102"/>
      <c r="R3" s="102"/>
      <c r="S3" s="102"/>
      <c r="T3" s="102"/>
      <c r="U3" s="126"/>
      <c r="V3" s="138"/>
      <c r="W3" s="143"/>
      <c r="X3" s="144"/>
      <c r="Y3" s="144"/>
      <c r="Z3" s="139"/>
    </row>
    <row r="4" spans="1:27" s="32" customFormat="1" ht="57.75" customHeight="1" x14ac:dyDescent="0.2">
      <c r="A4" s="26" t="s">
        <v>64</v>
      </c>
      <c r="B4" s="26" t="s">
        <v>319</v>
      </c>
      <c r="C4" s="27" t="s">
        <v>62</v>
      </c>
      <c r="D4" s="27" t="s">
        <v>320</v>
      </c>
      <c r="E4" s="26" t="s">
        <v>94</v>
      </c>
      <c r="F4" s="26" t="s">
        <v>96</v>
      </c>
      <c r="G4" s="26" t="s">
        <v>321</v>
      </c>
      <c r="H4" s="24" t="s">
        <v>322</v>
      </c>
      <c r="I4" s="28" t="s">
        <v>323</v>
      </c>
      <c r="J4" s="28" t="s">
        <v>46</v>
      </c>
      <c r="K4" s="106"/>
      <c r="L4" s="28" t="s">
        <v>324</v>
      </c>
      <c r="M4" s="106"/>
      <c r="N4" s="106"/>
      <c r="O4" s="29" t="s">
        <v>325</v>
      </c>
      <c r="P4" s="29" t="s">
        <v>326</v>
      </c>
      <c r="Q4" s="29" t="s">
        <v>327</v>
      </c>
      <c r="R4" s="29" t="s">
        <v>323</v>
      </c>
      <c r="S4" s="29" t="s">
        <v>46</v>
      </c>
      <c r="T4" s="29" t="s">
        <v>328</v>
      </c>
      <c r="U4" s="29" t="s">
        <v>121</v>
      </c>
      <c r="V4" s="139"/>
      <c r="W4" s="30" t="s">
        <v>125</v>
      </c>
      <c r="X4" s="31" t="s">
        <v>329</v>
      </c>
      <c r="Y4" s="31" t="s">
        <v>330</v>
      </c>
      <c r="Z4" s="31" t="s">
        <v>331</v>
      </c>
      <c r="AA4" s="31" t="s">
        <v>332</v>
      </c>
    </row>
    <row r="5" spans="1:27" ht="105.6" customHeight="1" x14ac:dyDescent="0.2">
      <c r="A5" s="12" t="s">
        <v>163</v>
      </c>
      <c r="B5" s="127" t="s">
        <v>164</v>
      </c>
      <c r="C5" s="12" t="s">
        <v>162</v>
      </c>
      <c r="D5" s="68" t="str">
        <f>'Valoración de Activos'!F8</f>
        <v>Cuentas y credenciales de administrador y usuarios</v>
      </c>
      <c r="E5" s="12" t="s">
        <v>333</v>
      </c>
      <c r="F5" s="12" t="s">
        <v>334</v>
      </c>
      <c r="G5" s="36" t="s">
        <v>335</v>
      </c>
      <c r="H5" s="33">
        <f>'Valoración de Activos'!O8</f>
        <v>2.6666666666666665</v>
      </c>
      <c r="I5" s="11">
        <v>3</v>
      </c>
      <c r="J5" s="11">
        <v>3</v>
      </c>
      <c r="K5" s="12" t="s">
        <v>336</v>
      </c>
      <c r="L5" s="36">
        <v>0</v>
      </c>
      <c r="M5" s="34">
        <f>IF(H5*I5*J5=0," ",H5*I5*J5)-L5</f>
        <v>24</v>
      </c>
      <c r="N5" s="35" t="str">
        <f>IFERROR(VLOOKUP(M5,'Evaluación de Riesgos'!$N$4:$P$6,3,TRUE),"")</f>
        <v>ALTO</v>
      </c>
      <c r="O5" s="36" t="str">
        <f>IFERROR(VLOOKUP(M5,#REF!,3,TRUE),"")</f>
        <v/>
      </c>
      <c r="P5" s="36" t="str">
        <f t="shared" ref="P5:P24" si="0">IF(AND(I5&gt;=2,J5&lt;2),"CONTROL CORRECTIVO",IF(AND(I5=2,J5=2),"CONTROL PREVENTIVO",IF(AND(I5&gt;=2,J5=2),"CONTROL CORRECTIVO",IF(AND(I5&lt;=2,J5&gt;2),"CONTROL PREVENTIVO",IF(AND(I5&lt;2,J5&gt;=2),"CONTROL PREVENTIVO",IF(AND(I5=3,J5=3),"CONTROL PREVENTIVO",IF(AND(I5=1,J5=1),"NO APLICA CONTROL"," ")))))))</f>
        <v>CONTROL PREVENTIVO</v>
      </c>
      <c r="Q5" s="12" t="s">
        <v>337</v>
      </c>
      <c r="R5" s="35">
        <v>1</v>
      </c>
      <c r="S5" s="35">
        <v>1</v>
      </c>
      <c r="T5" s="33">
        <f t="shared" ref="T5:T24" si="1">IF(H5*R5*S5=0," ",H5*R5*S5)</f>
        <v>2.6666666666666665</v>
      </c>
      <c r="U5" s="35" t="str">
        <f>IFERROR(VLOOKUP(T5,'Evaluación de Riesgos'!$N$4:$P$6,3,TRUE),"")</f>
        <v>BAJO</v>
      </c>
      <c r="V5" s="37" t="str">
        <f t="shared" ref="V5:V24" si="2">IF(T5=" "," ",IF(T5&lt;=3,"ACEPTABLE","INACEPTABLE"))</f>
        <v>ACEPTABLE</v>
      </c>
      <c r="W5" s="22" t="s">
        <v>338</v>
      </c>
      <c r="X5" s="72">
        <v>46315</v>
      </c>
      <c r="Y5" s="72">
        <v>46346</v>
      </c>
      <c r="Z5" s="22" t="s">
        <v>339</v>
      </c>
      <c r="AA5" s="66" t="s">
        <v>340</v>
      </c>
    </row>
    <row r="6" spans="1:27" ht="105.6" customHeight="1" x14ac:dyDescent="0.2">
      <c r="A6" s="12" t="s">
        <v>163</v>
      </c>
      <c r="B6" s="106" t="s">
        <v>173</v>
      </c>
      <c r="C6" s="12" t="s">
        <v>172</v>
      </c>
      <c r="D6" s="68" t="str">
        <f>'Valoración de Activos'!F9</f>
        <v>Configuración y credenciales de las salas</v>
      </c>
      <c r="E6" s="12" t="s">
        <v>341</v>
      </c>
      <c r="F6" s="12" t="s">
        <v>342</v>
      </c>
      <c r="G6" s="36" t="s">
        <v>343</v>
      </c>
      <c r="H6" s="33">
        <f>'Valoración de Activos'!O9</f>
        <v>2.6666666666666665</v>
      </c>
      <c r="I6" s="11">
        <v>2</v>
      </c>
      <c r="J6" s="11">
        <v>3</v>
      </c>
      <c r="K6" s="12" t="s">
        <v>336</v>
      </c>
      <c r="L6" s="36">
        <v>0</v>
      </c>
      <c r="M6" s="34">
        <f>IF(H6*I6*J6=0," ",H6*I6*J6)-L6</f>
        <v>16</v>
      </c>
      <c r="N6" s="35" t="str">
        <f>IFERROR(VLOOKUP(M6,'Evaluación de Riesgos'!$N$4:$P$6,3,TRUE),"")</f>
        <v>ALTO</v>
      </c>
      <c r="O6" s="36" t="str">
        <f>IFERROR(VLOOKUP(M6,#REF!,3,TRUE),"")</f>
        <v/>
      </c>
      <c r="P6" s="36" t="str">
        <f t="shared" si="0"/>
        <v>CONTROL PREVENTIVO</v>
      </c>
      <c r="Q6" s="12" t="s">
        <v>344</v>
      </c>
      <c r="R6" s="35">
        <v>1</v>
      </c>
      <c r="S6" s="35">
        <v>1</v>
      </c>
      <c r="T6" s="33">
        <f t="shared" si="1"/>
        <v>2.6666666666666665</v>
      </c>
      <c r="U6" s="35" t="str">
        <f>IFERROR(VLOOKUP(T6,'Evaluación de Riesgos'!$N$4:$P$6,3,TRUE),"")</f>
        <v>BAJO</v>
      </c>
      <c r="V6" s="37" t="str">
        <f t="shared" si="2"/>
        <v>ACEPTABLE</v>
      </c>
      <c r="W6" s="22" t="s">
        <v>345</v>
      </c>
      <c r="X6" s="72">
        <v>46315</v>
      </c>
      <c r="Y6" s="72">
        <v>46346</v>
      </c>
      <c r="Z6" s="69" t="s">
        <v>346</v>
      </c>
      <c r="AA6" s="22" t="s">
        <v>340</v>
      </c>
    </row>
    <row r="7" spans="1:27" ht="96" customHeight="1" x14ac:dyDescent="0.2">
      <c r="A7" s="36" t="s">
        <v>163</v>
      </c>
      <c r="B7" s="36" t="s">
        <v>182</v>
      </c>
      <c r="C7" s="36" t="s">
        <v>181</v>
      </c>
      <c r="D7" s="68" t="str">
        <f>'Valoración de Activos'!F10</f>
        <v>Claves y secretos criptográficos</v>
      </c>
      <c r="E7" s="12" t="s">
        <v>347</v>
      </c>
      <c r="F7" s="12" t="s">
        <v>348</v>
      </c>
      <c r="G7" s="12" t="s">
        <v>349</v>
      </c>
      <c r="H7" s="33">
        <f>'Valoración de Activos'!O10</f>
        <v>2.6666666666666665</v>
      </c>
      <c r="I7" s="11">
        <v>2</v>
      </c>
      <c r="J7" s="11">
        <v>3</v>
      </c>
      <c r="K7" s="12" t="s">
        <v>336</v>
      </c>
      <c r="L7" s="36">
        <v>0</v>
      </c>
      <c r="M7" s="34">
        <f>IF(H7*I7*J7=0," ",H7*I7*J7)-L7</f>
        <v>16</v>
      </c>
      <c r="N7" s="35" t="str">
        <f>IFERROR(VLOOKUP(M7,'Evaluación de Riesgos'!$N$4:$P$6,3,TRUE),"")</f>
        <v>ALTO</v>
      </c>
      <c r="O7" s="36" t="str">
        <f>IFERROR(VLOOKUP(M7,#REF!,3,TRUE),"")</f>
        <v/>
      </c>
      <c r="P7" s="36" t="str">
        <f t="shared" si="0"/>
        <v>CONTROL PREVENTIVO</v>
      </c>
      <c r="Q7" s="12" t="s">
        <v>350</v>
      </c>
      <c r="R7" s="35">
        <v>1</v>
      </c>
      <c r="S7" s="35">
        <v>1</v>
      </c>
      <c r="T7" s="33">
        <f t="shared" si="1"/>
        <v>2.6666666666666665</v>
      </c>
      <c r="U7" s="35" t="str">
        <f>IFERROR(VLOOKUP(T7,'Evaluación de Riesgos'!$N$4:$P$6,3,TRUE),"")</f>
        <v>BAJO</v>
      </c>
      <c r="V7" s="37" t="str">
        <f t="shared" si="2"/>
        <v>ACEPTABLE</v>
      </c>
      <c r="W7" s="22" t="s">
        <v>351</v>
      </c>
      <c r="X7" s="72">
        <v>46315</v>
      </c>
      <c r="Y7" s="72">
        <v>46346</v>
      </c>
      <c r="Z7" s="69" t="s">
        <v>352</v>
      </c>
      <c r="AA7" s="12" t="s">
        <v>340</v>
      </c>
    </row>
    <row r="8" spans="1:27" ht="105.6" customHeight="1" x14ac:dyDescent="0.2">
      <c r="A8" s="36" t="s">
        <v>163</v>
      </c>
      <c r="B8" s="36" t="s">
        <v>190</v>
      </c>
      <c r="C8" s="36" t="s">
        <v>189</v>
      </c>
      <c r="D8" s="68" t="str">
        <f>'Valoración de Activos'!F11</f>
        <v>Mensajes y metadatos de comunicación</v>
      </c>
      <c r="E8" s="12" t="s">
        <v>353</v>
      </c>
      <c r="F8" s="12" t="s">
        <v>354</v>
      </c>
      <c r="G8" s="12" t="s">
        <v>355</v>
      </c>
      <c r="H8" s="33">
        <f>'Valoración de Activos'!O11</f>
        <v>2.6666666666666665</v>
      </c>
      <c r="I8" s="11">
        <v>2</v>
      </c>
      <c r="J8" s="11">
        <v>3</v>
      </c>
      <c r="K8" s="12" t="s">
        <v>336</v>
      </c>
      <c r="L8" s="36">
        <v>0</v>
      </c>
      <c r="M8" s="34">
        <f>IF(H8*I8*J8=0," ",H8*I8*J8)-L8</f>
        <v>16</v>
      </c>
      <c r="N8" s="35" t="str">
        <f>IFERROR(VLOOKUP(M8,'Evaluación de Riesgos'!$N$4:$P$6,3,TRUE),"")</f>
        <v>ALTO</v>
      </c>
      <c r="O8" s="36" t="str">
        <f>IFERROR(VLOOKUP(M8,#REF!,3,TRUE),"")</f>
        <v/>
      </c>
      <c r="P8" s="36" t="str">
        <f t="shared" si="0"/>
        <v>CONTROL PREVENTIVO</v>
      </c>
      <c r="Q8" s="12" t="s">
        <v>356</v>
      </c>
      <c r="R8" s="35">
        <v>1</v>
      </c>
      <c r="S8" s="35">
        <v>1</v>
      </c>
      <c r="T8" s="33">
        <f t="shared" si="1"/>
        <v>2.6666666666666665</v>
      </c>
      <c r="U8" s="35" t="str">
        <f>IFERROR(VLOOKUP(T8,'Evaluación de Riesgos'!$N$4:$P$6,3,TRUE),"")</f>
        <v>BAJO</v>
      </c>
      <c r="V8" s="37" t="str">
        <f t="shared" si="2"/>
        <v>ACEPTABLE</v>
      </c>
      <c r="W8" s="22" t="s">
        <v>357</v>
      </c>
      <c r="X8" s="72">
        <v>46315</v>
      </c>
      <c r="Y8" s="72">
        <v>46346</v>
      </c>
      <c r="Z8" s="69" t="s">
        <v>358</v>
      </c>
      <c r="AA8" s="12" t="s">
        <v>340</v>
      </c>
    </row>
    <row r="9" spans="1:27" ht="96" customHeight="1" x14ac:dyDescent="0.2">
      <c r="A9" s="36" t="s">
        <v>163</v>
      </c>
      <c r="B9" s="36" t="s">
        <v>199</v>
      </c>
      <c r="C9" s="36" t="s">
        <v>198</v>
      </c>
      <c r="D9" s="68" t="str">
        <f>IF('Valoración de Activos'!F12="","",'Valoración de Activos'!F12)</f>
        <v>Sesiones activas y vínculo usuario-dispositivo</v>
      </c>
      <c r="E9" s="12" t="s">
        <v>359</v>
      </c>
      <c r="F9" s="12" t="s">
        <v>360</v>
      </c>
      <c r="G9" s="12" t="s">
        <v>361</v>
      </c>
      <c r="H9" s="33">
        <f>IF('Valoración de Activos'!F12="","",'Valoración de Activos'!O12)</f>
        <v>2.6666666666666665</v>
      </c>
      <c r="I9" s="11">
        <v>2</v>
      </c>
      <c r="J9" s="11">
        <v>3</v>
      </c>
      <c r="K9" s="12" t="s">
        <v>336</v>
      </c>
      <c r="L9" s="36">
        <v>0</v>
      </c>
      <c r="M9" s="34">
        <f t="shared" ref="M9:M24" si="3">IF(COUNTA(A9:C9)=0," ",IF(H9*I9*J9=0," ",H9*I9*J9)-L9)</f>
        <v>16</v>
      </c>
      <c r="N9" s="35" t="str">
        <f>IFERROR(VLOOKUP(M9,'Evaluación de Riesgos'!$N$4:$P$6,3,TRUE),"")</f>
        <v>ALTO</v>
      </c>
      <c r="O9" s="36" t="str">
        <f>IFERROR(VLOOKUP(M9,#REF!,3,TRUE),"")</f>
        <v/>
      </c>
      <c r="P9" s="36" t="str">
        <f t="shared" si="0"/>
        <v>CONTROL PREVENTIVO</v>
      </c>
      <c r="Q9" s="12" t="s">
        <v>362</v>
      </c>
      <c r="R9" s="35">
        <v>1</v>
      </c>
      <c r="S9" s="35">
        <v>1</v>
      </c>
      <c r="T9" s="33">
        <f t="shared" si="1"/>
        <v>2.6666666666666665</v>
      </c>
      <c r="U9" s="35" t="str">
        <f>IFERROR(VLOOKUP(T9,'Evaluación de Riesgos'!$N$4:$P$6,3,TRUE),"")</f>
        <v>BAJO</v>
      </c>
      <c r="V9" s="37" t="str">
        <f t="shared" si="2"/>
        <v>ACEPTABLE</v>
      </c>
      <c r="W9" s="22" t="s">
        <v>363</v>
      </c>
      <c r="X9" s="72">
        <v>46315</v>
      </c>
      <c r="Y9" s="72">
        <v>46346</v>
      </c>
      <c r="Z9" s="69" t="s">
        <v>364</v>
      </c>
      <c r="AA9" s="12" t="s">
        <v>340</v>
      </c>
    </row>
    <row r="10" spans="1:27" ht="96" customHeight="1" x14ac:dyDescent="0.2">
      <c r="A10" s="36" t="s">
        <v>163</v>
      </c>
      <c r="B10" s="36" t="s">
        <v>207</v>
      </c>
      <c r="C10" s="36" t="s">
        <v>206</v>
      </c>
      <c r="D10" s="68" t="str">
        <f>IF('Valoración de Activos'!F13="","",'Valoración de Activos'!F13)</f>
        <v>Aplicación de chat, backend y API</v>
      </c>
      <c r="E10" s="12" t="s">
        <v>365</v>
      </c>
      <c r="F10" s="12" t="s">
        <v>366</v>
      </c>
      <c r="G10" s="12" t="s">
        <v>367</v>
      </c>
      <c r="H10" s="33">
        <f>IF('Valoración de Activos'!F13="","",'Valoración de Activos'!O13)</f>
        <v>3</v>
      </c>
      <c r="I10" s="11">
        <v>3</v>
      </c>
      <c r="J10" s="11">
        <v>3</v>
      </c>
      <c r="K10" s="12" t="s">
        <v>336</v>
      </c>
      <c r="L10" s="36">
        <v>0</v>
      </c>
      <c r="M10" s="34">
        <f t="shared" si="3"/>
        <v>27</v>
      </c>
      <c r="N10" s="35" t="str">
        <f>IFERROR(VLOOKUP(M10,'Evaluación de Riesgos'!$N$4:$P$6,3,TRUE),"")</f>
        <v>ALTO</v>
      </c>
      <c r="O10" s="36" t="str">
        <f>IFERROR(VLOOKUP(M10,#REF!,3,TRUE),"")</f>
        <v/>
      </c>
      <c r="P10" s="36" t="str">
        <f t="shared" si="0"/>
        <v>CONTROL PREVENTIVO</v>
      </c>
      <c r="Q10" s="12" t="s">
        <v>368</v>
      </c>
      <c r="R10" s="35">
        <v>1</v>
      </c>
      <c r="S10" s="35">
        <v>1</v>
      </c>
      <c r="T10" s="33">
        <f t="shared" si="1"/>
        <v>3</v>
      </c>
      <c r="U10" s="35" t="str">
        <f>IFERROR(VLOOKUP(T10,'Evaluación de Riesgos'!$N$4:$P$6,3,TRUE),"")</f>
        <v>BAJO</v>
      </c>
      <c r="V10" s="37" t="str">
        <f t="shared" si="2"/>
        <v>ACEPTABLE</v>
      </c>
      <c r="W10" s="22" t="s">
        <v>369</v>
      </c>
      <c r="X10" s="72">
        <v>46315</v>
      </c>
      <c r="Y10" s="72">
        <v>46346</v>
      </c>
      <c r="Z10" s="69" t="s">
        <v>358</v>
      </c>
      <c r="AA10" s="12" t="s">
        <v>340</v>
      </c>
    </row>
    <row r="11" spans="1:27" ht="105.6" customHeight="1" x14ac:dyDescent="0.2">
      <c r="A11" s="36" t="s">
        <v>163</v>
      </c>
      <c r="B11" s="36" t="s">
        <v>215</v>
      </c>
      <c r="C11" s="36" t="s">
        <v>214</v>
      </c>
      <c r="D11" s="68" t="str">
        <f>IF('Valoración de Activos'!F14="","",'Valoración de Activos'!F14)</f>
        <v>Base de datos del sistema de chat</v>
      </c>
      <c r="E11" s="12" t="s">
        <v>370</v>
      </c>
      <c r="F11" s="12" t="s">
        <v>371</v>
      </c>
      <c r="G11" s="12" t="s">
        <v>372</v>
      </c>
      <c r="H11" s="33">
        <f>IF('Valoración de Activos'!F14="","",'Valoración de Activos'!O14)</f>
        <v>3</v>
      </c>
      <c r="I11" s="11">
        <v>2</v>
      </c>
      <c r="J11" s="11">
        <v>3</v>
      </c>
      <c r="K11" s="12" t="s">
        <v>336</v>
      </c>
      <c r="L11" s="36">
        <v>0</v>
      </c>
      <c r="M11" s="34">
        <f t="shared" si="3"/>
        <v>18</v>
      </c>
      <c r="N11" s="35" t="str">
        <f>IFERROR(VLOOKUP(M11,'Evaluación de Riesgos'!$N$4:$P$6,3,TRUE),"")</f>
        <v>ALTO</v>
      </c>
      <c r="O11" s="36" t="str">
        <f>IFERROR(VLOOKUP(M11,#REF!,3,TRUE),"")</f>
        <v/>
      </c>
      <c r="P11" s="36" t="str">
        <f t="shared" si="0"/>
        <v>CONTROL PREVENTIVO</v>
      </c>
      <c r="Q11" s="12" t="s">
        <v>373</v>
      </c>
      <c r="R11" s="35">
        <v>1</v>
      </c>
      <c r="S11" s="35">
        <v>1</v>
      </c>
      <c r="T11" s="33">
        <f t="shared" si="1"/>
        <v>3</v>
      </c>
      <c r="U11" s="35" t="str">
        <f>IFERROR(VLOOKUP(T11,'Evaluación de Riesgos'!$N$4:$P$6,3,TRUE),"")</f>
        <v>BAJO</v>
      </c>
      <c r="V11" s="37" t="str">
        <f t="shared" si="2"/>
        <v>ACEPTABLE</v>
      </c>
      <c r="W11" s="22" t="s">
        <v>374</v>
      </c>
      <c r="X11" s="72">
        <v>46315</v>
      </c>
      <c r="Y11" s="72">
        <v>46346</v>
      </c>
      <c r="Z11" s="69" t="s">
        <v>375</v>
      </c>
      <c r="AA11" s="12" t="s">
        <v>340</v>
      </c>
    </row>
    <row r="12" spans="1:27" ht="105.6" customHeight="1" x14ac:dyDescent="0.2">
      <c r="A12" s="36" t="s">
        <v>163</v>
      </c>
      <c r="B12" s="36" t="s">
        <v>222</v>
      </c>
      <c r="C12" s="36" t="s">
        <v>221</v>
      </c>
      <c r="D12" s="68" t="str">
        <f>IF('Valoración de Activos'!F15="","",'Valoración de Activos'!F15)</f>
        <v>Archivos multimedia compartidos</v>
      </c>
      <c r="E12" s="12" t="s">
        <v>376</v>
      </c>
      <c r="F12" s="12" t="s">
        <v>377</v>
      </c>
      <c r="G12" s="12" t="s">
        <v>378</v>
      </c>
      <c r="H12" s="33">
        <f>IF('Valoración de Activos'!F15="","",'Valoración de Activos'!O15)</f>
        <v>2.6666666666666665</v>
      </c>
      <c r="I12" s="11">
        <v>3</v>
      </c>
      <c r="J12" s="11">
        <v>3</v>
      </c>
      <c r="K12" s="12" t="s">
        <v>336</v>
      </c>
      <c r="L12" s="36">
        <v>0</v>
      </c>
      <c r="M12" s="34">
        <f t="shared" si="3"/>
        <v>24</v>
      </c>
      <c r="N12" s="35" t="str">
        <f>IFERROR(VLOOKUP(M12,'Evaluación de Riesgos'!$N$4:$P$6,3,TRUE),"")</f>
        <v>ALTO</v>
      </c>
      <c r="O12" s="36" t="str">
        <f>IFERROR(VLOOKUP(M12,#REF!,3,TRUE),"")</f>
        <v/>
      </c>
      <c r="P12" s="36" t="str">
        <f t="shared" si="0"/>
        <v>CONTROL PREVENTIVO</v>
      </c>
      <c r="Q12" s="12" t="s">
        <v>379</v>
      </c>
      <c r="R12" s="35">
        <v>1</v>
      </c>
      <c r="S12" s="35">
        <v>1</v>
      </c>
      <c r="T12" s="33">
        <f t="shared" si="1"/>
        <v>2.6666666666666665</v>
      </c>
      <c r="U12" s="35" t="str">
        <f>IFERROR(VLOOKUP(T12,'Evaluación de Riesgos'!$N$4:$P$6,3,TRUE),"")</f>
        <v>BAJO</v>
      </c>
      <c r="V12" s="37" t="str">
        <f t="shared" si="2"/>
        <v>ACEPTABLE</v>
      </c>
      <c r="W12" s="22" t="s">
        <v>380</v>
      </c>
      <c r="X12" s="72">
        <v>46315</v>
      </c>
      <c r="Y12" s="72">
        <v>46346</v>
      </c>
      <c r="Z12" s="69" t="s">
        <v>364</v>
      </c>
      <c r="AA12" s="12" t="s">
        <v>340</v>
      </c>
    </row>
    <row r="13" spans="1:27" ht="115.15" customHeight="1" x14ac:dyDescent="0.2">
      <c r="A13" s="36" t="s">
        <v>163</v>
      </c>
      <c r="B13" s="36" t="s">
        <v>229</v>
      </c>
      <c r="C13" s="36" t="s">
        <v>228</v>
      </c>
      <c r="D13" s="68" t="str">
        <f>IF('Valoración de Activos'!F16="","",'Valoración de Activos'!F16)</f>
        <v>Módulo de análisis y detección de esteganografía</v>
      </c>
      <c r="E13" s="12" t="s">
        <v>381</v>
      </c>
      <c r="F13" s="12" t="s">
        <v>382</v>
      </c>
      <c r="G13" s="12" t="s">
        <v>383</v>
      </c>
      <c r="H13" s="33">
        <f>IF('Valoración de Activos'!F16="","",'Valoración de Activos'!O16)</f>
        <v>2.6666666666666665</v>
      </c>
      <c r="I13" s="11">
        <v>2</v>
      </c>
      <c r="J13" s="11">
        <v>3</v>
      </c>
      <c r="K13" s="12" t="s">
        <v>336</v>
      </c>
      <c r="L13" s="36">
        <v>0</v>
      </c>
      <c r="M13" s="34">
        <f t="shared" si="3"/>
        <v>16</v>
      </c>
      <c r="N13" s="35" t="str">
        <f>IFERROR(VLOOKUP(M13,'Evaluación de Riesgos'!$N$4:$P$6,3,TRUE),"")</f>
        <v>ALTO</v>
      </c>
      <c r="O13" s="36" t="str">
        <f>IFERROR(VLOOKUP(M13,#REF!,3,TRUE),"")</f>
        <v/>
      </c>
      <c r="P13" s="36" t="str">
        <f t="shared" si="0"/>
        <v>CONTROL PREVENTIVO</v>
      </c>
      <c r="Q13" s="12" t="s">
        <v>384</v>
      </c>
      <c r="R13" s="35">
        <v>1</v>
      </c>
      <c r="S13" s="35">
        <v>1</v>
      </c>
      <c r="T13" s="33">
        <f t="shared" si="1"/>
        <v>2.6666666666666665</v>
      </c>
      <c r="U13" s="35" t="str">
        <f>IFERROR(VLOOKUP(T13,'Evaluación de Riesgos'!$N$4:$P$6,3,TRUE),"")</f>
        <v>BAJO</v>
      </c>
      <c r="V13" s="37" t="str">
        <f t="shared" si="2"/>
        <v>ACEPTABLE</v>
      </c>
      <c r="W13" s="22" t="s">
        <v>385</v>
      </c>
      <c r="X13" s="72">
        <v>46315</v>
      </c>
      <c r="Y13" s="72">
        <v>46346</v>
      </c>
      <c r="Z13" s="69" t="s">
        <v>386</v>
      </c>
      <c r="AA13" s="12" t="s">
        <v>340</v>
      </c>
    </row>
    <row r="14" spans="1:27" ht="96" customHeight="1" x14ac:dyDescent="0.2">
      <c r="A14" s="36" t="s">
        <v>163</v>
      </c>
      <c r="B14" s="36" t="s">
        <v>235</v>
      </c>
      <c r="C14" s="36" t="s">
        <v>234</v>
      </c>
      <c r="D14" s="68" t="str">
        <f>IF('Valoración de Activos'!F17="","",'Valoración de Activos'!F17)</f>
        <v>Registros de auditoría y alertas de seguridad</v>
      </c>
      <c r="E14" s="12" t="s">
        <v>387</v>
      </c>
      <c r="F14" s="12" t="s">
        <v>388</v>
      </c>
      <c r="G14" s="12" t="s">
        <v>389</v>
      </c>
      <c r="H14" s="33">
        <f>IF('Valoración de Activos'!F17="","",'Valoración de Activos'!O17)</f>
        <v>2.3333333333333335</v>
      </c>
      <c r="I14" s="11">
        <v>2</v>
      </c>
      <c r="J14" s="11">
        <v>3</v>
      </c>
      <c r="K14" s="12" t="s">
        <v>336</v>
      </c>
      <c r="L14" s="36">
        <v>0</v>
      </c>
      <c r="M14" s="34">
        <f t="shared" si="3"/>
        <v>14</v>
      </c>
      <c r="N14" s="35" t="str">
        <f>IFERROR(VLOOKUP(M14,'Evaluación de Riesgos'!$N$4:$P$6,3,TRUE),"")</f>
        <v>ALTO</v>
      </c>
      <c r="O14" s="36" t="str">
        <f>IFERROR(VLOOKUP(M14,#REF!,3,TRUE),"")</f>
        <v/>
      </c>
      <c r="P14" s="36" t="str">
        <f t="shared" si="0"/>
        <v>CONTROL PREVENTIVO</v>
      </c>
      <c r="Q14" s="12" t="s">
        <v>390</v>
      </c>
      <c r="R14" s="35">
        <v>1</v>
      </c>
      <c r="S14" s="35">
        <v>1</v>
      </c>
      <c r="T14" s="33">
        <f t="shared" si="1"/>
        <v>2.3333333333333335</v>
      </c>
      <c r="U14" s="35" t="str">
        <f>IFERROR(VLOOKUP(T14,'Evaluación de Riesgos'!$N$4:$P$6,3,TRUE),"")</f>
        <v>BAJO</v>
      </c>
      <c r="V14" s="37" t="str">
        <f t="shared" si="2"/>
        <v>ACEPTABLE</v>
      </c>
      <c r="W14" s="22" t="s">
        <v>391</v>
      </c>
      <c r="X14" s="72">
        <v>46315</v>
      </c>
      <c r="Y14" s="72">
        <v>46346</v>
      </c>
      <c r="Z14" s="69" t="s">
        <v>392</v>
      </c>
      <c r="AA14" s="12" t="s">
        <v>340</v>
      </c>
    </row>
    <row r="15" spans="1:27" ht="96" customHeight="1" x14ac:dyDescent="0.2">
      <c r="A15" s="36" t="s">
        <v>163</v>
      </c>
      <c r="B15" s="36" t="s">
        <v>242</v>
      </c>
      <c r="C15" s="36" t="s">
        <v>241</v>
      </c>
      <c r="D15" s="68" t="str">
        <f>IF('Valoración de Activos'!F18="","",'Valoración de Activos'!F18)</f>
        <v>Infraestructura y red de alojamiento</v>
      </c>
      <c r="E15" s="12" t="s">
        <v>393</v>
      </c>
      <c r="F15" s="12" t="s">
        <v>394</v>
      </c>
      <c r="G15" s="12" t="s">
        <v>395</v>
      </c>
      <c r="H15" s="33">
        <f>IF('Valoración de Activos'!F18="","",'Valoración de Activos'!O18)</f>
        <v>2.6666666666666665</v>
      </c>
      <c r="I15" s="11">
        <v>3</v>
      </c>
      <c r="J15" s="11">
        <v>3</v>
      </c>
      <c r="K15" s="12" t="s">
        <v>336</v>
      </c>
      <c r="L15" s="36">
        <v>0</v>
      </c>
      <c r="M15" s="34">
        <f t="shared" si="3"/>
        <v>24</v>
      </c>
      <c r="N15" s="35" t="str">
        <f>IFERROR(VLOOKUP(M15,'Evaluación de Riesgos'!$N$4:$P$6,3,TRUE),"")</f>
        <v>ALTO</v>
      </c>
      <c r="O15" s="36" t="str">
        <f>IFERROR(VLOOKUP(M15,#REF!,3,TRUE),"")</f>
        <v/>
      </c>
      <c r="P15" s="36" t="str">
        <f t="shared" si="0"/>
        <v>CONTROL PREVENTIVO</v>
      </c>
      <c r="Q15" s="12" t="s">
        <v>396</v>
      </c>
      <c r="R15" s="35">
        <v>1</v>
      </c>
      <c r="S15" s="35">
        <v>1</v>
      </c>
      <c r="T15" s="33">
        <f t="shared" si="1"/>
        <v>2.6666666666666665</v>
      </c>
      <c r="U15" s="35" t="str">
        <f>IFERROR(VLOOKUP(T15,'Evaluación de Riesgos'!$N$4:$P$6,3,TRUE),"")</f>
        <v>BAJO</v>
      </c>
      <c r="V15" s="37" t="str">
        <f t="shared" si="2"/>
        <v>ACEPTABLE</v>
      </c>
      <c r="W15" s="22" t="s">
        <v>397</v>
      </c>
      <c r="X15" s="72">
        <v>46315</v>
      </c>
      <c r="Y15" s="72">
        <v>46346</v>
      </c>
      <c r="Z15" s="69" t="s">
        <v>398</v>
      </c>
      <c r="AA15" s="12" t="s">
        <v>340</v>
      </c>
    </row>
    <row r="16" spans="1:27" ht="96" customHeight="1" x14ac:dyDescent="0.2">
      <c r="A16" s="36" t="s">
        <v>163</v>
      </c>
      <c r="B16" s="36" t="s">
        <v>250</v>
      </c>
      <c r="C16" s="36" t="s">
        <v>249</v>
      </c>
      <c r="D16" s="68" t="str">
        <f>IF('Valoración de Activos'!F19="","",'Valoración de Activos'!F19)</f>
        <v>Código fuente, CI/CD y artefactos de compilación</v>
      </c>
      <c r="E16" s="12" t="s">
        <v>399</v>
      </c>
      <c r="F16" s="12" t="s">
        <v>400</v>
      </c>
      <c r="G16" s="12" t="s">
        <v>401</v>
      </c>
      <c r="H16" s="33">
        <f>IF('Valoración de Activos'!F19="","",'Valoración de Activos'!O19)</f>
        <v>2.3333333333333335</v>
      </c>
      <c r="I16" s="11">
        <v>2</v>
      </c>
      <c r="J16" s="11">
        <v>3</v>
      </c>
      <c r="K16" s="12" t="s">
        <v>336</v>
      </c>
      <c r="L16" s="36">
        <v>0</v>
      </c>
      <c r="M16" s="34">
        <f t="shared" si="3"/>
        <v>14</v>
      </c>
      <c r="N16" s="35" t="str">
        <f>IFERROR(VLOOKUP(M16,'Evaluación de Riesgos'!$N$4:$P$6,3,TRUE),"")</f>
        <v>ALTO</v>
      </c>
      <c r="O16" s="36" t="str">
        <f>IFERROR(VLOOKUP(M16,#REF!,3,TRUE),"")</f>
        <v/>
      </c>
      <c r="P16" s="36" t="str">
        <f t="shared" si="0"/>
        <v>CONTROL PREVENTIVO</v>
      </c>
      <c r="Q16" s="12" t="s">
        <v>402</v>
      </c>
      <c r="R16" s="35">
        <v>1</v>
      </c>
      <c r="S16" s="35">
        <v>1</v>
      </c>
      <c r="T16" s="33">
        <f t="shared" si="1"/>
        <v>2.3333333333333335</v>
      </c>
      <c r="U16" s="35" t="str">
        <f>IFERROR(VLOOKUP(T16,'Evaluación de Riesgos'!$N$4:$P$6,3,TRUE),"")</f>
        <v>BAJO</v>
      </c>
      <c r="V16" s="37" t="str">
        <f t="shared" si="2"/>
        <v>ACEPTABLE</v>
      </c>
      <c r="W16" s="22" t="s">
        <v>403</v>
      </c>
      <c r="X16" s="72">
        <v>46315</v>
      </c>
      <c r="Y16" s="72">
        <v>46346</v>
      </c>
      <c r="Z16" s="69" t="s">
        <v>404</v>
      </c>
      <c r="AA16" s="12" t="s">
        <v>340</v>
      </c>
    </row>
    <row r="17" spans="1:27" ht="105.6" customHeight="1" x14ac:dyDescent="0.2">
      <c r="A17" s="36" t="s">
        <v>163</v>
      </c>
      <c r="B17" s="12" t="s">
        <v>256</v>
      </c>
      <c r="C17" s="36" t="s">
        <v>255</v>
      </c>
      <c r="D17" s="36" t="str">
        <f>IF('Valoración de Activos'!F20="","",'Valoración de Activos'!F20)</f>
        <v>Registro de participantes y permisos por sala</v>
      </c>
      <c r="E17" s="12" t="s">
        <v>405</v>
      </c>
      <c r="F17" s="12" t="s">
        <v>406</v>
      </c>
      <c r="G17" s="12" t="s">
        <v>407</v>
      </c>
      <c r="H17" s="74">
        <f>IF('Valoración de Activos'!F20="","",'Valoración de Activos'!O20)</f>
        <v>2.6666666666666665</v>
      </c>
      <c r="I17" s="12">
        <v>3</v>
      </c>
      <c r="J17" s="12">
        <v>3</v>
      </c>
      <c r="K17" s="12" t="s">
        <v>336</v>
      </c>
      <c r="L17" s="36">
        <v>0</v>
      </c>
      <c r="M17" s="75">
        <f t="shared" si="3"/>
        <v>24</v>
      </c>
      <c r="N17" s="36" t="str">
        <f>IFERROR(VLOOKUP(M17,'Evaluación de Riesgos'!$N$4:$P$6,3,TRUE),"")</f>
        <v>ALTO</v>
      </c>
      <c r="O17" s="36" t="str">
        <f>IFERROR(VLOOKUP(M17,#REF!,3,TRUE),"")</f>
        <v/>
      </c>
      <c r="P17" s="36" t="str">
        <f t="shared" si="0"/>
        <v>CONTROL PREVENTIVO</v>
      </c>
      <c r="Q17" s="12" t="s">
        <v>408</v>
      </c>
      <c r="R17" s="12">
        <v>1</v>
      </c>
      <c r="S17" s="12">
        <v>1</v>
      </c>
      <c r="T17" s="75">
        <f t="shared" si="1"/>
        <v>2.6666666666666665</v>
      </c>
      <c r="U17" s="36" t="str">
        <f>IFERROR(VLOOKUP(T17,'Evaluación de Riesgos'!$N$4:$P$6,3,TRUE),"")</f>
        <v>BAJO</v>
      </c>
      <c r="V17" s="76" t="str">
        <f t="shared" si="2"/>
        <v>ACEPTABLE</v>
      </c>
      <c r="W17" s="22" t="s">
        <v>409</v>
      </c>
      <c r="X17" s="77">
        <v>46315</v>
      </c>
      <c r="Y17" s="77">
        <v>46346</v>
      </c>
      <c r="Z17" s="69" t="s">
        <v>339</v>
      </c>
      <c r="AA17" s="12" t="s">
        <v>410</v>
      </c>
    </row>
    <row r="18" spans="1:27" ht="96" customHeight="1" x14ac:dyDescent="0.2">
      <c r="A18" s="127" t="s">
        <v>163</v>
      </c>
      <c r="B18" s="127" t="s">
        <v>263</v>
      </c>
      <c r="C18" s="127" t="s">
        <v>262</v>
      </c>
      <c r="D18" s="36" t="str">
        <f>IF('Valoración de Activos'!F21="","",'Valoración de Activos'!F21)</f>
        <v>Aplicación cliente y dispositivo del usuario</v>
      </c>
      <c r="E18" s="12" t="s">
        <v>411</v>
      </c>
      <c r="F18" s="12" t="s">
        <v>412</v>
      </c>
      <c r="G18" s="12" t="s">
        <v>413</v>
      </c>
      <c r="H18" s="74">
        <f>IF('Valoración de Activos'!F21="","",'Valoración de Activos'!O21)</f>
        <v>2.6666666666666665</v>
      </c>
      <c r="I18" s="12">
        <v>3</v>
      </c>
      <c r="J18" s="12">
        <v>3</v>
      </c>
      <c r="K18" s="12" t="s">
        <v>336</v>
      </c>
      <c r="L18" s="36">
        <v>0</v>
      </c>
      <c r="M18" s="75">
        <f t="shared" si="3"/>
        <v>24</v>
      </c>
      <c r="N18" s="36" t="str">
        <f>IFERROR(VLOOKUP(M18,'Evaluación de Riesgos'!$N$4:$P$6,3,TRUE),"")</f>
        <v>ALTO</v>
      </c>
      <c r="O18" s="36" t="str">
        <f>IFERROR(VLOOKUP(M18,#REF!,3,TRUE),"")</f>
        <v/>
      </c>
      <c r="P18" s="36" t="str">
        <f t="shared" si="0"/>
        <v>CONTROL PREVENTIVO</v>
      </c>
      <c r="Q18" s="12" t="s">
        <v>414</v>
      </c>
      <c r="R18" s="12">
        <v>1</v>
      </c>
      <c r="S18" s="12">
        <v>1</v>
      </c>
      <c r="T18" s="75">
        <f t="shared" si="1"/>
        <v>2.6666666666666665</v>
      </c>
      <c r="U18" s="36" t="str">
        <f>IFERROR(VLOOKUP(T18,'Evaluación de Riesgos'!$N$4:$P$6,3,TRUE),"")</f>
        <v>BAJO</v>
      </c>
      <c r="V18" s="76" t="str">
        <f t="shared" si="2"/>
        <v>ACEPTABLE</v>
      </c>
      <c r="W18" s="22" t="s">
        <v>415</v>
      </c>
      <c r="X18" s="77">
        <v>46315</v>
      </c>
      <c r="Y18" s="77">
        <v>46346</v>
      </c>
      <c r="Z18" s="69" t="s">
        <v>346</v>
      </c>
      <c r="AA18" s="12" t="s">
        <v>410</v>
      </c>
    </row>
    <row r="19" spans="1:27" ht="105.6" customHeight="1" x14ac:dyDescent="0.2">
      <c r="A19" s="128" t="s">
        <v>163</v>
      </c>
      <c r="B19" s="128" t="s">
        <v>272</v>
      </c>
      <c r="C19" s="128" t="s">
        <v>271</v>
      </c>
      <c r="D19" s="36" t="str">
        <f>IF('Valoración de Activos'!F22="","",'Valoración de Activos'!F22)</f>
        <v>Servicio de gestión de conexiones y cierre de sesión</v>
      </c>
      <c r="E19" s="12" t="s">
        <v>416</v>
      </c>
      <c r="F19" s="12" t="s">
        <v>417</v>
      </c>
      <c r="G19" s="12" t="s">
        <v>418</v>
      </c>
      <c r="H19" s="74">
        <f>IF('Valoración de Activos'!F22="","",'Valoración de Activos'!O22)</f>
        <v>2.6666666666666665</v>
      </c>
      <c r="I19" s="12">
        <v>3</v>
      </c>
      <c r="J19" s="12">
        <v>3</v>
      </c>
      <c r="K19" s="12" t="s">
        <v>336</v>
      </c>
      <c r="L19" s="36">
        <v>0</v>
      </c>
      <c r="M19" s="75">
        <f t="shared" si="3"/>
        <v>24</v>
      </c>
      <c r="N19" s="36" t="str">
        <f>IFERROR(VLOOKUP(M19,'Evaluación de Riesgos'!$N$4:$P$6,3,TRUE),"")</f>
        <v>ALTO</v>
      </c>
      <c r="O19" s="36" t="str">
        <f>IFERROR(VLOOKUP(M19,#REF!,3,TRUE),"")</f>
        <v/>
      </c>
      <c r="P19" s="36" t="str">
        <f t="shared" si="0"/>
        <v>CONTROL PREVENTIVO</v>
      </c>
      <c r="Q19" s="12" t="s">
        <v>419</v>
      </c>
      <c r="R19" s="12">
        <v>1</v>
      </c>
      <c r="S19" s="12">
        <v>1</v>
      </c>
      <c r="T19" s="75">
        <f t="shared" si="1"/>
        <v>2.6666666666666665</v>
      </c>
      <c r="U19" s="36" t="str">
        <f>IFERROR(VLOOKUP(T19,'Evaluación de Riesgos'!$N$4:$P$6,3,TRUE),"")</f>
        <v>BAJO</v>
      </c>
      <c r="V19" s="76" t="str">
        <f t="shared" si="2"/>
        <v>ACEPTABLE</v>
      </c>
      <c r="W19" s="22" t="s">
        <v>420</v>
      </c>
      <c r="X19" s="77">
        <v>46315</v>
      </c>
      <c r="Y19" s="77">
        <v>46346</v>
      </c>
      <c r="Z19" s="69" t="s">
        <v>339</v>
      </c>
      <c r="AA19" s="12" t="s">
        <v>410</v>
      </c>
    </row>
    <row r="20" spans="1:27" ht="105.6" customHeight="1" x14ac:dyDescent="0.2">
      <c r="A20" s="36" t="s">
        <v>163</v>
      </c>
      <c r="B20" s="36" t="s">
        <v>278</v>
      </c>
      <c r="C20" s="36" t="s">
        <v>277</v>
      </c>
      <c r="D20" s="36" t="str">
        <f>IF('Valoración de Activos'!F23="","",'Valoración de Activos'!F23)</f>
        <v>Canales y configuración de transporte cifrado</v>
      </c>
      <c r="E20" s="12" t="s">
        <v>421</v>
      </c>
      <c r="F20" s="12" t="s">
        <v>422</v>
      </c>
      <c r="G20" s="12" t="s">
        <v>423</v>
      </c>
      <c r="H20" s="74">
        <f>IF('Valoración de Activos'!F23="","",'Valoración de Activos'!O23)</f>
        <v>2.6666666666666665</v>
      </c>
      <c r="I20" s="12">
        <v>3</v>
      </c>
      <c r="J20" s="12">
        <v>3</v>
      </c>
      <c r="K20" s="12" t="s">
        <v>336</v>
      </c>
      <c r="L20" s="36">
        <v>0</v>
      </c>
      <c r="M20" s="75">
        <f t="shared" si="3"/>
        <v>24</v>
      </c>
      <c r="N20" s="36" t="str">
        <f>IFERROR(VLOOKUP(M20,'Evaluación de Riesgos'!$N$4:$P$6,3,TRUE),"")</f>
        <v>ALTO</v>
      </c>
      <c r="O20" s="36" t="str">
        <f>IFERROR(VLOOKUP(M20,#REF!,3,TRUE),"")</f>
        <v/>
      </c>
      <c r="P20" s="36" t="str">
        <f t="shared" si="0"/>
        <v>CONTROL PREVENTIVO</v>
      </c>
      <c r="Q20" s="12" t="s">
        <v>424</v>
      </c>
      <c r="R20" s="12">
        <v>1</v>
      </c>
      <c r="S20" s="12">
        <v>1</v>
      </c>
      <c r="T20" s="75">
        <f t="shared" si="1"/>
        <v>2.6666666666666665</v>
      </c>
      <c r="U20" s="36" t="str">
        <f>IFERROR(VLOOKUP(T20,'Evaluación de Riesgos'!$N$4:$P$6,3,TRUE),"")</f>
        <v>BAJO</v>
      </c>
      <c r="V20" s="76" t="str">
        <f t="shared" si="2"/>
        <v>ACEPTABLE</v>
      </c>
      <c r="W20" s="22" t="s">
        <v>425</v>
      </c>
      <c r="X20" s="77">
        <v>46315</v>
      </c>
      <c r="Y20" s="77">
        <v>46346</v>
      </c>
      <c r="Z20" s="69" t="s">
        <v>426</v>
      </c>
      <c r="AA20" s="12" t="s">
        <v>410</v>
      </c>
    </row>
    <row r="21" spans="1:27" ht="96" customHeight="1" x14ac:dyDescent="0.2">
      <c r="A21" s="129" t="s">
        <v>163</v>
      </c>
      <c r="B21" s="132" t="s">
        <v>285</v>
      </c>
      <c r="C21" s="132" t="s">
        <v>284</v>
      </c>
      <c r="D21" s="39" t="str">
        <f>IF('Valoración de Activos'!F24="","",'Valoración de Activos'!F24)</f>
        <v>Servicio de carga y transferencia de archivos</v>
      </c>
      <c r="E21" s="40" t="s">
        <v>427</v>
      </c>
      <c r="F21" s="40" t="s">
        <v>428</v>
      </c>
      <c r="G21" s="40" t="s">
        <v>429</v>
      </c>
      <c r="H21" s="78">
        <f>IF('Valoración de Activos'!F24="","",'Valoración de Activos'!O24)</f>
        <v>2.6666666666666665</v>
      </c>
      <c r="I21" s="40">
        <v>3</v>
      </c>
      <c r="J21" s="40">
        <v>3</v>
      </c>
      <c r="K21" s="40" t="s">
        <v>336</v>
      </c>
      <c r="L21" s="39">
        <v>0</v>
      </c>
      <c r="M21" s="79">
        <f t="shared" si="3"/>
        <v>24</v>
      </c>
      <c r="N21" s="39" t="str">
        <f>IFERROR(VLOOKUP(M21,'Evaluación de Riesgos'!$N$4:$P$6,3,TRUE),"")</f>
        <v>ALTO</v>
      </c>
      <c r="O21" s="39" t="str">
        <f>IFERROR(VLOOKUP(M21,#REF!,3,TRUE),"")</f>
        <v/>
      </c>
      <c r="P21" s="39" t="str">
        <f t="shared" si="0"/>
        <v>CONTROL PREVENTIVO</v>
      </c>
      <c r="Q21" s="40" t="s">
        <v>430</v>
      </c>
      <c r="R21" s="40">
        <v>1</v>
      </c>
      <c r="S21" s="40">
        <v>1</v>
      </c>
      <c r="T21" s="79">
        <f t="shared" si="1"/>
        <v>2.6666666666666665</v>
      </c>
      <c r="U21" s="39" t="str">
        <f>IFERROR(VLOOKUP(T21,'Evaluación de Riesgos'!$N$4:$P$6,3,TRUE),"")</f>
        <v>BAJO</v>
      </c>
      <c r="V21" s="22" t="str">
        <f t="shared" si="2"/>
        <v>ACEPTABLE</v>
      </c>
      <c r="W21" s="22" t="s">
        <v>431</v>
      </c>
      <c r="X21" s="77">
        <v>46315</v>
      </c>
      <c r="Y21" s="77">
        <v>46346</v>
      </c>
      <c r="Z21" s="22" t="s">
        <v>346</v>
      </c>
      <c r="AA21" s="82" t="s">
        <v>410</v>
      </c>
    </row>
    <row r="22" spans="1:27" ht="96" customHeight="1" x14ac:dyDescent="0.2">
      <c r="A22" s="130" t="s">
        <v>163</v>
      </c>
      <c r="B22" s="130" t="s">
        <v>292</v>
      </c>
      <c r="C22" s="130" t="s">
        <v>291</v>
      </c>
      <c r="D22" s="22" t="str">
        <f>IF('Valoración de Activos'!F25="","",'Valoración de Activos'!F25)</f>
        <v>Reglas de validación y política de archivos</v>
      </c>
      <c r="E22" s="21" t="s">
        <v>432</v>
      </c>
      <c r="F22" s="21" t="s">
        <v>433</v>
      </c>
      <c r="G22" s="21" t="s">
        <v>434</v>
      </c>
      <c r="H22" s="80">
        <f>IF('Valoración de Activos'!F25="","",'Valoración de Activos'!O25)</f>
        <v>2.6666666666666665</v>
      </c>
      <c r="I22" s="21">
        <v>3</v>
      </c>
      <c r="J22" s="21">
        <v>3</v>
      </c>
      <c r="K22" s="21" t="s">
        <v>336</v>
      </c>
      <c r="L22" s="22">
        <v>0</v>
      </c>
      <c r="M22" s="81">
        <f t="shared" si="3"/>
        <v>24</v>
      </c>
      <c r="N22" s="22" t="str">
        <f>IFERROR(VLOOKUP(M22,'Evaluación de Riesgos'!$N$4:$P$6,3,TRUE),"")</f>
        <v>ALTO</v>
      </c>
      <c r="O22" s="22" t="str">
        <f>IFERROR(VLOOKUP(M22,#REF!,3,TRUE),"")</f>
        <v/>
      </c>
      <c r="P22" s="22" t="str">
        <f t="shared" si="0"/>
        <v>CONTROL PREVENTIVO</v>
      </c>
      <c r="Q22" s="21" t="s">
        <v>435</v>
      </c>
      <c r="R22" s="21">
        <v>1</v>
      </c>
      <c r="S22" s="21">
        <v>1</v>
      </c>
      <c r="T22" s="81">
        <f t="shared" si="1"/>
        <v>2.6666666666666665</v>
      </c>
      <c r="U22" s="22" t="str">
        <f>IFERROR(VLOOKUP(T22,'Evaluación de Riesgos'!$N$4:$P$6,3,TRUE),"")</f>
        <v>BAJO</v>
      </c>
      <c r="V22" s="22" t="str">
        <f t="shared" si="2"/>
        <v>ACEPTABLE</v>
      </c>
      <c r="W22" s="22" t="s">
        <v>436</v>
      </c>
      <c r="X22" s="22">
        <v>46315</v>
      </c>
      <c r="Y22" s="22">
        <v>46346</v>
      </c>
      <c r="Z22" s="22" t="s">
        <v>339</v>
      </c>
      <c r="AA22" s="82" t="s">
        <v>410</v>
      </c>
    </row>
    <row r="23" spans="1:27" ht="96" customHeight="1" x14ac:dyDescent="0.2">
      <c r="A23" s="131" t="s">
        <v>163</v>
      </c>
      <c r="B23" s="131" t="s">
        <v>300</v>
      </c>
      <c r="C23" s="131" t="s">
        <v>299</v>
      </c>
      <c r="D23" s="22" t="str">
        <f>IF('Valoración de Activos'!F26="","",'Valoración de Activos'!F26)</f>
        <v>Área de cuarentena de archivos sospechosos</v>
      </c>
      <c r="E23" s="21" t="s">
        <v>437</v>
      </c>
      <c r="F23" s="21" t="s">
        <v>438</v>
      </c>
      <c r="G23" s="21" t="s">
        <v>439</v>
      </c>
      <c r="H23" s="80">
        <f>IF('Valoración de Activos'!F26="","",'Valoración de Activos'!O26)</f>
        <v>2.6666666666666665</v>
      </c>
      <c r="I23" s="21">
        <v>3</v>
      </c>
      <c r="J23" s="21">
        <v>3</v>
      </c>
      <c r="K23" s="21" t="s">
        <v>336</v>
      </c>
      <c r="L23" s="22">
        <v>0</v>
      </c>
      <c r="M23" s="81">
        <f t="shared" si="3"/>
        <v>24</v>
      </c>
      <c r="N23" s="22" t="str">
        <f>IFERROR(VLOOKUP(M23,'Evaluación de Riesgos'!$N$4:$P$6,3,TRUE),"")</f>
        <v>ALTO</v>
      </c>
      <c r="O23" s="22" t="str">
        <f>IFERROR(VLOOKUP(M23,#REF!,3,TRUE),"")</f>
        <v/>
      </c>
      <c r="P23" s="22" t="str">
        <f t="shared" si="0"/>
        <v>CONTROL PREVENTIVO</v>
      </c>
      <c r="Q23" s="21" t="s">
        <v>440</v>
      </c>
      <c r="R23" s="21">
        <v>1</v>
      </c>
      <c r="S23" s="21">
        <v>1</v>
      </c>
      <c r="T23" s="81">
        <f t="shared" si="1"/>
        <v>2.6666666666666665</v>
      </c>
      <c r="U23" s="22" t="str">
        <f>IFERROR(VLOOKUP(T23,'Evaluación de Riesgos'!$N$4:$P$6,3,TRUE),"")</f>
        <v>BAJO</v>
      </c>
      <c r="V23" s="22" t="str">
        <f t="shared" si="2"/>
        <v>ACEPTABLE</v>
      </c>
      <c r="W23" s="22" t="s">
        <v>441</v>
      </c>
      <c r="X23" s="22">
        <v>46315</v>
      </c>
      <c r="Y23" s="22">
        <v>46346</v>
      </c>
      <c r="Z23" s="22" t="s">
        <v>442</v>
      </c>
      <c r="AA23" s="82" t="s">
        <v>410</v>
      </c>
    </row>
    <row r="24" spans="1:27" ht="105.6" customHeight="1" x14ac:dyDescent="0.2">
      <c r="A24" s="133" t="s">
        <v>163</v>
      </c>
      <c r="B24" s="133" t="s">
        <v>307</v>
      </c>
      <c r="C24" s="133" t="s">
        <v>306</v>
      </c>
      <c r="D24" s="22" t="str">
        <f>IF('Valoración de Activos'!F27="","",'Valoración de Activos'!F27)</f>
        <v>Requisitos, modelos de amenazas y evidencias de pruebas</v>
      </c>
      <c r="E24" s="21" t="s">
        <v>443</v>
      </c>
      <c r="F24" s="21" t="s">
        <v>444</v>
      </c>
      <c r="G24" s="21" t="s">
        <v>445</v>
      </c>
      <c r="H24" s="80">
        <f>IF('Valoración de Activos'!F27="","",'Valoración de Activos'!O27)</f>
        <v>2.3333333333333335</v>
      </c>
      <c r="I24" s="21">
        <v>3</v>
      </c>
      <c r="J24" s="21">
        <v>3</v>
      </c>
      <c r="K24" s="21" t="s">
        <v>336</v>
      </c>
      <c r="L24" s="22">
        <v>0</v>
      </c>
      <c r="M24" s="81">
        <f t="shared" si="3"/>
        <v>21</v>
      </c>
      <c r="N24" s="22" t="str">
        <f>IFERROR(VLOOKUP(M24,'Evaluación de Riesgos'!$N$4:$P$6,3,TRUE),"")</f>
        <v>ALTO</v>
      </c>
      <c r="O24" s="22" t="str">
        <f>IFERROR(VLOOKUP(M24,#REF!,3,TRUE),"")</f>
        <v/>
      </c>
      <c r="P24" s="22" t="str">
        <f t="shared" si="0"/>
        <v>CONTROL PREVENTIVO</v>
      </c>
      <c r="Q24" s="21" t="s">
        <v>446</v>
      </c>
      <c r="R24" s="21">
        <v>1</v>
      </c>
      <c r="S24" s="21">
        <v>1</v>
      </c>
      <c r="T24" s="21">
        <f t="shared" si="1"/>
        <v>2.3333333333333335</v>
      </c>
      <c r="U24" s="22" t="str">
        <f>IFERROR(VLOOKUP(T24,'Evaluación de Riesgos'!$N$4:$P$6,3,TRUE),"")</f>
        <v>BAJO</v>
      </c>
      <c r="V24" s="22" t="str">
        <f t="shared" si="2"/>
        <v>ACEPTABLE</v>
      </c>
      <c r="W24" s="22" t="s">
        <v>447</v>
      </c>
      <c r="X24" s="77">
        <v>46315</v>
      </c>
      <c r="Y24" s="77">
        <v>46346</v>
      </c>
      <c r="Z24" s="22" t="s">
        <v>404</v>
      </c>
      <c r="AA24" s="82" t="s">
        <v>410</v>
      </c>
    </row>
    <row r="25" spans="1:27" x14ac:dyDescent="0.2">
      <c r="A25" s="111"/>
      <c r="B25" s="111"/>
      <c r="C25" s="111"/>
      <c r="D25" s="22"/>
      <c r="E25" s="21"/>
      <c r="F25" s="21"/>
      <c r="G25" s="21"/>
      <c r="H25" s="41"/>
      <c r="I25" s="20"/>
      <c r="J25" s="20"/>
      <c r="K25" s="21"/>
      <c r="L25" s="22"/>
      <c r="M25" s="42"/>
      <c r="N25" s="19"/>
      <c r="O25" s="19"/>
      <c r="P25" s="22"/>
      <c r="Q25" s="43"/>
      <c r="R25" s="38"/>
      <c r="S25" s="38"/>
      <c r="T25" s="38"/>
      <c r="U25" s="19"/>
      <c r="V25" s="19"/>
      <c r="W25" s="19"/>
      <c r="X25" s="19"/>
      <c r="Y25" s="19"/>
      <c r="Z25" s="19"/>
    </row>
    <row r="26" spans="1:27" x14ac:dyDescent="0.2">
      <c r="A26" s="112"/>
      <c r="B26" s="112"/>
      <c r="C26" s="112"/>
      <c r="D26" s="22"/>
      <c r="E26" s="21"/>
      <c r="F26" s="21"/>
      <c r="G26" s="21"/>
      <c r="H26" s="41"/>
      <c r="I26" s="20"/>
      <c r="J26" s="20"/>
      <c r="K26" s="21"/>
      <c r="L26" s="22"/>
      <c r="M26" s="42"/>
      <c r="N26" s="19"/>
      <c r="O26" s="19"/>
      <c r="P26" s="22"/>
      <c r="Q26" s="43"/>
      <c r="R26" s="38"/>
      <c r="S26" s="38"/>
      <c r="T26" s="38"/>
      <c r="U26" s="19"/>
      <c r="V26" s="19"/>
      <c r="W26" s="19"/>
      <c r="X26" s="19"/>
      <c r="Y26" s="19"/>
      <c r="Z26" s="19"/>
    </row>
    <row r="27" spans="1:27" x14ac:dyDescent="0.2">
      <c r="A27" s="121"/>
      <c r="B27" s="121"/>
      <c r="C27" s="121"/>
      <c r="D27" s="22"/>
      <c r="E27" s="21"/>
      <c r="F27" s="21"/>
      <c r="G27" s="21"/>
      <c r="H27" s="41"/>
      <c r="I27" s="20"/>
      <c r="J27" s="20"/>
      <c r="K27" s="21"/>
      <c r="L27" s="22"/>
      <c r="M27" s="42"/>
      <c r="N27" s="19"/>
      <c r="O27" s="19"/>
      <c r="P27" s="22"/>
      <c r="Q27" s="43"/>
      <c r="R27" s="38"/>
      <c r="S27" s="38"/>
      <c r="T27" s="38"/>
      <c r="U27" s="19"/>
      <c r="V27" s="19"/>
      <c r="W27" s="19"/>
      <c r="X27" s="65"/>
      <c r="Y27" s="65"/>
      <c r="Z27" s="19"/>
    </row>
    <row r="28" spans="1:27" x14ac:dyDescent="0.2">
      <c r="A28" s="111"/>
      <c r="B28" s="111"/>
      <c r="C28" s="111"/>
      <c r="D28" s="22"/>
      <c r="E28" s="21"/>
      <c r="F28" s="21"/>
      <c r="G28" s="21"/>
      <c r="H28" s="41"/>
      <c r="I28" s="20"/>
      <c r="J28" s="20"/>
      <c r="K28" s="21"/>
      <c r="L28" s="22"/>
      <c r="M28" s="42"/>
      <c r="N28" s="19"/>
      <c r="O28" s="19"/>
      <c r="P28" s="22"/>
      <c r="Q28" s="43"/>
      <c r="R28" s="38"/>
      <c r="S28" s="38"/>
      <c r="T28" s="38"/>
      <c r="U28" s="19"/>
      <c r="V28" s="19"/>
      <c r="W28" s="19"/>
      <c r="X28" s="19"/>
      <c r="Y28" s="19"/>
      <c r="Z28" s="19"/>
    </row>
    <row r="29" spans="1:27" x14ac:dyDescent="0.2">
      <c r="A29" s="112"/>
      <c r="B29" s="112"/>
      <c r="C29" s="112"/>
      <c r="D29" s="22"/>
      <c r="E29" s="21"/>
      <c r="F29" s="21"/>
      <c r="G29" s="21"/>
      <c r="H29" s="41"/>
      <c r="I29" s="20"/>
      <c r="J29" s="20"/>
      <c r="K29" s="21"/>
      <c r="L29" s="22"/>
      <c r="M29" s="42"/>
      <c r="N29" s="19"/>
      <c r="O29" s="19"/>
      <c r="P29" s="22"/>
      <c r="Q29" s="43"/>
      <c r="R29" s="38"/>
      <c r="S29" s="38"/>
      <c r="T29" s="38"/>
      <c r="U29" s="19"/>
      <c r="V29" s="19"/>
      <c r="W29" s="19"/>
      <c r="X29" s="19"/>
      <c r="Y29" s="19"/>
      <c r="Z29" s="19"/>
    </row>
    <row r="30" spans="1:27" x14ac:dyDescent="0.2">
      <c r="A30" s="121"/>
      <c r="B30" s="121"/>
      <c r="C30" s="121"/>
      <c r="D30" s="22"/>
      <c r="E30" s="21"/>
      <c r="F30" s="21"/>
      <c r="G30" s="21"/>
      <c r="H30" s="121"/>
      <c r="I30" s="20"/>
      <c r="J30" s="20"/>
      <c r="K30" s="21"/>
      <c r="L30" s="22"/>
      <c r="M30" s="42"/>
      <c r="N30" s="19"/>
      <c r="O30" s="19"/>
      <c r="P30" s="22"/>
      <c r="Q30" s="43"/>
      <c r="R30" s="38"/>
      <c r="S30" s="38"/>
      <c r="T30" s="38"/>
      <c r="U30" s="19"/>
      <c r="V30" s="19"/>
      <c r="W30" s="19"/>
      <c r="X30" s="65"/>
      <c r="Y30" s="65"/>
      <c r="Z30" s="19"/>
    </row>
    <row r="31" spans="1:27" x14ac:dyDescent="0.2">
      <c r="A31" s="111"/>
      <c r="B31" s="111"/>
      <c r="C31" s="111"/>
      <c r="D31" s="22"/>
      <c r="E31" s="21"/>
      <c r="F31" s="21"/>
      <c r="G31" s="21"/>
      <c r="H31" s="111"/>
      <c r="I31" s="20"/>
      <c r="J31" s="20"/>
      <c r="K31" s="21"/>
      <c r="L31" s="22"/>
      <c r="M31" s="42"/>
      <c r="N31" s="19"/>
      <c r="O31" s="19"/>
      <c r="P31" s="22"/>
      <c r="Q31" s="43"/>
      <c r="R31" s="38"/>
      <c r="S31" s="38"/>
      <c r="T31" s="38"/>
      <c r="U31" s="19"/>
      <c r="V31" s="19"/>
      <c r="W31" s="19"/>
      <c r="X31" s="19"/>
      <c r="Y31" s="19"/>
      <c r="Z31" s="19"/>
    </row>
    <row r="32" spans="1:27" x14ac:dyDescent="0.2">
      <c r="A32" s="112"/>
      <c r="B32" s="112"/>
      <c r="C32" s="112"/>
      <c r="D32" s="22"/>
      <c r="E32" s="21"/>
      <c r="F32" s="21"/>
      <c r="G32" s="21"/>
      <c r="H32" s="112"/>
      <c r="I32" s="20"/>
      <c r="J32" s="20"/>
      <c r="K32" s="21"/>
      <c r="L32" s="22"/>
      <c r="M32" s="42"/>
      <c r="N32" s="19"/>
      <c r="O32" s="19"/>
      <c r="P32" s="22"/>
      <c r="Q32" s="43"/>
      <c r="R32" s="38"/>
      <c r="S32" s="38"/>
      <c r="T32" s="38"/>
      <c r="U32" s="19"/>
      <c r="V32" s="19"/>
      <c r="W32" s="19"/>
      <c r="X32" s="19"/>
      <c r="Y32" s="19"/>
      <c r="Z32" s="19"/>
    </row>
    <row r="33" spans="1:26" x14ac:dyDescent="0.2">
      <c r="A33" s="121"/>
      <c r="B33" s="121"/>
      <c r="C33" s="121"/>
      <c r="D33" s="22"/>
      <c r="E33" s="21"/>
      <c r="F33" s="21"/>
      <c r="G33" s="21"/>
      <c r="H33" s="121"/>
      <c r="I33" s="20"/>
      <c r="J33" s="20"/>
      <c r="K33" s="21"/>
      <c r="L33" s="22"/>
      <c r="M33" s="42"/>
      <c r="N33" s="19"/>
      <c r="O33" s="19"/>
      <c r="P33" s="22"/>
      <c r="Q33" s="43"/>
      <c r="R33" s="38"/>
      <c r="S33" s="38"/>
      <c r="T33" s="38"/>
      <c r="U33" s="19"/>
      <c r="V33" s="19"/>
      <c r="W33" s="19"/>
      <c r="X33" s="65"/>
      <c r="Y33" s="65"/>
      <c r="Z33" s="19"/>
    </row>
    <row r="34" spans="1:26" x14ac:dyDescent="0.2">
      <c r="A34" s="111"/>
      <c r="B34" s="111"/>
      <c r="C34" s="111"/>
      <c r="D34" s="22"/>
      <c r="E34" s="21"/>
      <c r="F34" s="21"/>
      <c r="G34" s="21"/>
      <c r="H34" s="111"/>
      <c r="I34" s="20"/>
      <c r="J34" s="20"/>
      <c r="K34" s="21"/>
      <c r="L34" s="22"/>
      <c r="M34" s="42"/>
      <c r="N34" s="19"/>
      <c r="O34" s="19"/>
      <c r="P34" s="22"/>
      <c r="Q34" s="43"/>
      <c r="R34" s="38"/>
      <c r="S34" s="38"/>
      <c r="T34" s="38"/>
      <c r="U34" s="19"/>
      <c r="V34" s="19"/>
      <c r="W34" s="19"/>
      <c r="X34" s="19"/>
      <c r="Y34" s="19"/>
      <c r="Z34" s="19"/>
    </row>
    <row r="35" spans="1:26" x14ac:dyDescent="0.2">
      <c r="A35" s="112"/>
      <c r="B35" s="112"/>
      <c r="C35" s="112"/>
      <c r="D35" s="22"/>
      <c r="E35" s="21"/>
      <c r="F35" s="21"/>
      <c r="G35" s="21"/>
      <c r="H35" s="112"/>
      <c r="I35" s="20"/>
      <c r="J35" s="20"/>
      <c r="K35" s="21"/>
      <c r="L35" s="22"/>
      <c r="M35" s="42"/>
      <c r="N35" s="19"/>
      <c r="O35" s="19"/>
      <c r="P35" s="22"/>
      <c r="Q35" s="43"/>
      <c r="R35" s="38"/>
      <c r="S35" s="38"/>
      <c r="T35" s="38"/>
      <c r="U35" s="19"/>
      <c r="V35" s="19"/>
      <c r="W35" s="19"/>
      <c r="X35" s="19"/>
      <c r="Y35" s="19"/>
      <c r="Z35" s="19"/>
    </row>
    <row r="36" spans="1:26" x14ac:dyDescent="0.2">
      <c r="A36" s="121"/>
      <c r="B36" s="121"/>
      <c r="C36" s="121"/>
      <c r="D36" s="22"/>
      <c r="E36" s="21"/>
      <c r="F36" s="21"/>
      <c r="G36" s="21"/>
      <c r="H36" s="121"/>
      <c r="I36" s="20"/>
      <c r="J36" s="20"/>
      <c r="K36" s="21"/>
      <c r="L36" s="22"/>
      <c r="M36" s="42"/>
      <c r="N36" s="19"/>
      <c r="O36" s="19"/>
      <c r="P36" s="22"/>
      <c r="Q36" s="43"/>
      <c r="R36" s="38"/>
      <c r="S36" s="38"/>
      <c r="T36" s="38"/>
      <c r="U36" s="19"/>
      <c r="V36" s="19"/>
      <c r="W36" s="19"/>
      <c r="X36" s="65"/>
      <c r="Y36" s="65"/>
      <c r="Z36" s="19"/>
    </row>
    <row r="37" spans="1:26" x14ac:dyDescent="0.2">
      <c r="A37" s="111"/>
      <c r="B37" s="111"/>
      <c r="C37" s="111"/>
      <c r="D37" s="22"/>
      <c r="E37" s="21"/>
      <c r="F37" s="21"/>
      <c r="G37" s="21"/>
      <c r="H37" s="111"/>
      <c r="I37" s="20"/>
      <c r="J37" s="20"/>
      <c r="K37" s="21"/>
      <c r="L37" s="22"/>
      <c r="M37" s="42"/>
      <c r="N37" s="19"/>
      <c r="O37" s="19"/>
      <c r="P37" s="22"/>
      <c r="Q37" s="43"/>
      <c r="R37" s="38"/>
      <c r="S37" s="38"/>
      <c r="T37" s="38"/>
      <c r="U37" s="19"/>
      <c r="V37" s="19"/>
      <c r="W37" s="19"/>
      <c r="X37" s="19"/>
      <c r="Y37" s="19"/>
      <c r="Z37" s="19"/>
    </row>
    <row r="38" spans="1:26" x14ac:dyDescent="0.2">
      <c r="A38" s="112"/>
      <c r="B38" s="112"/>
      <c r="C38" s="112"/>
      <c r="D38" s="22"/>
      <c r="E38" s="21"/>
      <c r="F38" s="21"/>
      <c r="G38" s="21"/>
      <c r="H38" s="112"/>
      <c r="I38" s="20"/>
      <c r="J38" s="20"/>
      <c r="K38" s="21"/>
      <c r="L38" s="22"/>
      <c r="M38" s="42"/>
      <c r="N38" s="19"/>
      <c r="O38" s="19"/>
      <c r="P38" s="22"/>
      <c r="Q38" s="43"/>
      <c r="R38" s="38"/>
      <c r="S38" s="38"/>
      <c r="T38" s="38"/>
      <c r="U38" s="19"/>
      <c r="V38" s="19"/>
      <c r="W38" s="19"/>
      <c r="X38" s="19"/>
      <c r="Y38" s="19"/>
      <c r="Z38" s="19"/>
    </row>
    <row r="39" spans="1:26" x14ac:dyDescent="0.2">
      <c r="A39" s="121"/>
      <c r="B39" s="121"/>
      <c r="C39" s="121"/>
      <c r="D39" s="22"/>
      <c r="E39" s="21"/>
      <c r="F39" s="21"/>
      <c r="G39" s="21"/>
      <c r="H39" s="121"/>
      <c r="I39" s="20"/>
      <c r="J39" s="20"/>
      <c r="K39" s="21"/>
      <c r="L39" s="22"/>
      <c r="M39" s="42"/>
      <c r="N39" s="19"/>
      <c r="O39" s="19"/>
      <c r="P39" s="22"/>
      <c r="Q39" s="43"/>
      <c r="R39" s="38"/>
      <c r="S39" s="38"/>
      <c r="T39" s="38"/>
      <c r="U39" s="19"/>
      <c r="V39" s="19"/>
      <c r="W39" s="19"/>
      <c r="X39" s="65"/>
      <c r="Y39" s="65"/>
      <c r="Z39" s="19"/>
    </row>
    <row r="40" spans="1:26" x14ac:dyDescent="0.2">
      <c r="A40" s="111"/>
      <c r="B40" s="111"/>
      <c r="C40" s="111"/>
      <c r="D40" s="22"/>
      <c r="E40" s="21"/>
      <c r="F40" s="21"/>
      <c r="G40" s="21"/>
      <c r="H40" s="111"/>
      <c r="I40" s="20"/>
      <c r="J40" s="20"/>
      <c r="K40" s="21"/>
      <c r="L40" s="22"/>
      <c r="M40" s="42"/>
      <c r="N40" s="19"/>
      <c r="O40" s="19"/>
      <c r="P40" s="22"/>
      <c r="Q40" s="43"/>
      <c r="R40" s="38"/>
      <c r="S40" s="38"/>
      <c r="T40" s="38"/>
      <c r="U40" s="19"/>
      <c r="V40" s="19"/>
      <c r="W40" s="19"/>
      <c r="X40" s="19"/>
      <c r="Y40" s="19"/>
      <c r="Z40" s="19"/>
    </row>
    <row r="41" spans="1:26" x14ac:dyDescent="0.2">
      <c r="A41" s="112"/>
      <c r="B41" s="112"/>
      <c r="C41" s="112"/>
      <c r="D41" s="22"/>
      <c r="E41" s="21"/>
      <c r="F41" s="21"/>
      <c r="G41" s="21"/>
      <c r="H41" s="112"/>
      <c r="I41" s="20"/>
      <c r="J41" s="20"/>
      <c r="K41" s="21"/>
      <c r="L41" s="22"/>
      <c r="M41" s="42"/>
      <c r="N41" s="19"/>
      <c r="O41" s="19"/>
      <c r="P41" s="22"/>
      <c r="Q41" s="43"/>
      <c r="R41" s="38"/>
      <c r="S41" s="38"/>
      <c r="T41" s="38"/>
      <c r="U41" s="19"/>
      <c r="V41" s="19"/>
      <c r="W41" s="19"/>
      <c r="X41" s="19"/>
      <c r="Y41" s="19"/>
      <c r="Z41" s="19"/>
    </row>
    <row r="42" spans="1:26" x14ac:dyDescent="0.2">
      <c r="A42" s="121"/>
      <c r="B42" s="121"/>
      <c r="C42" s="121"/>
      <c r="D42" s="22"/>
      <c r="E42" s="21"/>
      <c r="F42" s="21"/>
      <c r="G42" s="21"/>
      <c r="H42" s="121"/>
      <c r="I42" s="20"/>
      <c r="J42" s="20"/>
      <c r="K42" s="21"/>
      <c r="L42" s="22"/>
      <c r="M42" s="42"/>
      <c r="N42" s="19"/>
      <c r="O42" s="19"/>
      <c r="P42" s="22"/>
      <c r="Q42" s="43"/>
      <c r="R42" s="38"/>
      <c r="S42" s="38"/>
      <c r="T42" s="38"/>
      <c r="U42" s="19"/>
      <c r="V42" s="19"/>
      <c r="W42" s="19"/>
      <c r="X42" s="65"/>
      <c r="Y42" s="65"/>
      <c r="Z42" s="19"/>
    </row>
    <row r="43" spans="1:26" x14ac:dyDescent="0.2">
      <c r="A43" s="111"/>
      <c r="B43" s="111"/>
      <c r="C43" s="111"/>
      <c r="D43" s="22"/>
      <c r="E43" s="21"/>
      <c r="F43" s="21"/>
      <c r="G43" s="21"/>
      <c r="H43" s="111"/>
      <c r="I43" s="20"/>
      <c r="J43" s="20"/>
      <c r="K43" s="21"/>
      <c r="L43" s="22"/>
      <c r="M43" s="42"/>
      <c r="N43" s="19"/>
      <c r="O43" s="19"/>
      <c r="P43" s="22"/>
      <c r="Q43" s="43"/>
      <c r="R43" s="38"/>
      <c r="S43" s="38"/>
      <c r="T43" s="38"/>
      <c r="U43" s="19"/>
      <c r="V43" s="19"/>
      <c r="W43" s="19"/>
      <c r="X43" s="19"/>
      <c r="Y43" s="19"/>
      <c r="Z43" s="19"/>
    </row>
    <row r="44" spans="1:26" x14ac:dyDescent="0.2">
      <c r="A44" s="112"/>
      <c r="B44" s="112"/>
      <c r="C44" s="112"/>
      <c r="D44" s="22"/>
      <c r="E44" s="21"/>
      <c r="F44" s="21"/>
      <c r="G44" s="21"/>
      <c r="H44" s="112"/>
      <c r="I44" s="20"/>
      <c r="J44" s="20"/>
      <c r="K44" s="21"/>
      <c r="L44" s="22"/>
      <c r="M44" s="42"/>
      <c r="N44" s="19"/>
      <c r="O44" s="19"/>
      <c r="P44" s="22"/>
      <c r="Q44" s="43"/>
      <c r="R44" s="38"/>
      <c r="S44" s="38"/>
      <c r="T44" s="38"/>
      <c r="U44" s="19"/>
      <c r="V44" s="19"/>
      <c r="W44" s="19"/>
      <c r="X44" s="19"/>
      <c r="Y44" s="19"/>
      <c r="Z44" s="19"/>
    </row>
    <row r="45" spans="1:26" x14ac:dyDescent="0.2">
      <c r="A45" s="121"/>
      <c r="B45" s="121"/>
      <c r="C45" s="121"/>
      <c r="D45" s="22"/>
      <c r="E45" s="21"/>
      <c r="F45" s="21"/>
      <c r="G45" s="21"/>
      <c r="H45" s="121"/>
      <c r="I45" s="20"/>
      <c r="J45" s="20"/>
      <c r="K45" s="21"/>
      <c r="L45" s="22"/>
      <c r="M45" s="42"/>
      <c r="N45" s="19"/>
      <c r="O45" s="19"/>
      <c r="P45" s="22"/>
      <c r="Q45" s="43"/>
      <c r="R45" s="38"/>
      <c r="S45" s="38"/>
      <c r="T45" s="38"/>
      <c r="U45" s="19"/>
      <c r="V45" s="19"/>
      <c r="W45" s="19"/>
      <c r="X45" s="65"/>
      <c r="Y45" s="65"/>
      <c r="Z45" s="19"/>
    </row>
    <row r="46" spans="1:26" x14ac:dyDescent="0.2">
      <c r="A46" s="111"/>
      <c r="B46" s="111"/>
      <c r="C46" s="111"/>
      <c r="D46" s="22"/>
      <c r="E46" s="21"/>
      <c r="F46" s="21"/>
      <c r="G46" s="21"/>
      <c r="H46" s="111"/>
      <c r="I46" s="20"/>
      <c r="J46" s="20"/>
      <c r="K46" s="21"/>
      <c r="L46" s="22"/>
      <c r="M46" s="42"/>
      <c r="N46" s="19"/>
      <c r="O46" s="19"/>
      <c r="P46" s="22"/>
      <c r="Q46" s="43"/>
      <c r="R46" s="38"/>
      <c r="S46" s="38"/>
      <c r="T46" s="38"/>
      <c r="U46" s="19"/>
      <c r="V46" s="19"/>
      <c r="W46" s="19"/>
      <c r="X46" s="19"/>
      <c r="Y46" s="19"/>
      <c r="Z46" s="19"/>
    </row>
    <row r="47" spans="1:26" x14ac:dyDescent="0.2">
      <c r="A47" s="112"/>
      <c r="B47" s="112"/>
      <c r="C47" s="112"/>
      <c r="D47" s="22"/>
      <c r="E47" s="21"/>
      <c r="F47" s="21"/>
      <c r="G47" s="21"/>
      <c r="H47" s="112"/>
      <c r="I47" s="20"/>
      <c r="J47" s="20"/>
      <c r="K47" s="21"/>
      <c r="L47" s="22"/>
      <c r="M47" s="20"/>
      <c r="N47" s="19"/>
      <c r="O47" s="19"/>
      <c r="P47" s="22"/>
      <c r="Q47" s="43"/>
      <c r="R47" s="38"/>
      <c r="S47" s="38"/>
      <c r="T47" s="38"/>
      <c r="U47" s="19"/>
      <c r="V47" s="19"/>
      <c r="W47" s="19"/>
      <c r="X47" s="19"/>
      <c r="Y47" s="19"/>
      <c r="Z47" s="19"/>
    </row>
    <row r="48" spans="1:26" x14ac:dyDescent="0.2">
      <c r="A48" s="121"/>
      <c r="B48" s="121"/>
      <c r="C48" s="121"/>
      <c r="D48" s="22"/>
      <c r="E48" s="21"/>
      <c r="F48" s="21"/>
      <c r="G48" s="21"/>
      <c r="H48" s="121"/>
      <c r="I48" s="20"/>
      <c r="J48" s="20"/>
      <c r="K48" s="21"/>
      <c r="L48" s="22"/>
      <c r="M48" s="20"/>
      <c r="N48" s="19"/>
      <c r="O48" s="19"/>
      <c r="P48" s="22"/>
      <c r="Q48" s="43"/>
      <c r="R48" s="38"/>
      <c r="S48" s="38"/>
      <c r="T48" s="38"/>
      <c r="U48" s="19"/>
      <c r="V48" s="19"/>
      <c r="W48" s="19"/>
      <c r="X48" s="65"/>
      <c r="Y48" s="65"/>
      <c r="Z48" s="19"/>
    </row>
    <row r="49" spans="1:26" x14ac:dyDescent="0.2">
      <c r="A49" s="111"/>
      <c r="B49" s="111"/>
      <c r="C49" s="111"/>
      <c r="D49" s="22"/>
      <c r="E49" s="21"/>
      <c r="F49" s="21"/>
      <c r="G49" s="21"/>
      <c r="H49" s="111"/>
      <c r="I49" s="20"/>
      <c r="J49" s="20"/>
      <c r="K49" s="21"/>
      <c r="L49" s="22"/>
      <c r="M49" s="20"/>
      <c r="N49" s="19"/>
      <c r="O49" s="19"/>
      <c r="P49" s="22"/>
      <c r="Q49" s="43"/>
      <c r="R49" s="38"/>
      <c r="S49" s="38"/>
      <c r="T49" s="38"/>
      <c r="U49" s="19"/>
      <c r="V49" s="19"/>
      <c r="W49" s="19"/>
      <c r="X49" s="19"/>
      <c r="Y49" s="19"/>
      <c r="Z49" s="19"/>
    </row>
    <row r="50" spans="1:26" x14ac:dyDescent="0.2">
      <c r="A50" s="112"/>
      <c r="B50" s="112"/>
      <c r="C50" s="112"/>
      <c r="D50" s="22"/>
      <c r="E50" s="21"/>
      <c r="F50" s="21"/>
      <c r="G50" s="21"/>
      <c r="H50" s="112"/>
      <c r="I50" s="20"/>
      <c r="J50" s="20"/>
      <c r="K50" s="21"/>
      <c r="L50" s="22"/>
      <c r="M50" s="20"/>
      <c r="N50" s="19"/>
      <c r="O50" s="19"/>
      <c r="P50" s="22"/>
      <c r="Q50" s="43"/>
      <c r="R50" s="38"/>
      <c r="S50" s="38"/>
      <c r="T50" s="38"/>
      <c r="U50" s="19"/>
      <c r="V50" s="19"/>
      <c r="W50" s="19"/>
      <c r="X50" s="19"/>
      <c r="Y50" s="19"/>
      <c r="Z50" s="19"/>
    </row>
    <row r="51" spans="1:26" x14ac:dyDescent="0.2">
      <c r="A51" s="121"/>
      <c r="B51" s="121"/>
      <c r="C51" s="121"/>
      <c r="D51" s="22"/>
      <c r="E51" s="21"/>
      <c r="F51" s="21"/>
      <c r="G51" s="21"/>
      <c r="H51" s="121"/>
      <c r="I51" s="20"/>
      <c r="J51" s="20"/>
      <c r="K51" s="21"/>
      <c r="L51" s="22"/>
      <c r="M51" s="20"/>
      <c r="N51" s="19"/>
      <c r="O51" s="19"/>
      <c r="P51" s="22"/>
      <c r="Q51" s="43"/>
      <c r="R51" s="38"/>
      <c r="S51" s="38"/>
      <c r="T51" s="38"/>
      <c r="U51" s="19"/>
      <c r="V51" s="19"/>
      <c r="W51" s="19"/>
      <c r="X51" s="65"/>
      <c r="Y51" s="65"/>
      <c r="Z51" s="19"/>
    </row>
    <row r="52" spans="1:26" x14ac:dyDescent="0.2">
      <c r="A52" s="111"/>
      <c r="B52" s="111"/>
      <c r="C52" s="111"/>
      <c r="D52" s="22"/>
      <c r="E52" s="21"/>
      <c r="F52" s="21"/>
      <c r="G52" s="21"/>
      <c r="H52" s="111"/>
      <c r="I52" s="20"/>
      <c r="J52" s="20"/>
      <c r="K52" s="21"/>
      <c r="L52" s="22"/>
      <c r="M52" s="20"/>
      <c r="N52" s="19"/>
      <c r="O52" s="19"/>
      <c r="P52" s="22"/>
      <c r="Q52" s="43"/>
      <c r="R52" s="38"/>
      <c r="S52" s="38"/>
      <c r="T52" s="38"/>
      <c r="U52" s="19"/>
      <c r="V52" s="19"/>
      <c r="W52" s="19"/>
      <c r="X52" s="19"/>
      <c r="Y52" s="19"/>
      <c r="Z52" s="19"/>
    </row>
    <row r="53" spans="1:26" x14ac:dyDescent="0.2">
      <c r="A53" s="112"/>
      <c r="B53" s="112"/>
      <c r="C53" s="112"/>
      <c r="D53" s="22"/>
      <c r="E53" s="21"/>
      <c r="F53" s="21"/>
      <c r="G53" s="21"/>
      <c r="H53" s="112"/>
      <c r="I53" s="20"/>
      <c r="J53" s="20"/>
      <c r="K53" s="21"/>
      <c r="L53" s="22"/>
      <c r="M53" s="20"/>
      <c r="N53" s="19"/>
      <c r="O53" s="19"/>
      <c r="P53" s="22"/>
      <c r="Q53" s="43"/>
      <c r="R53" s="38"/>
      <c r="S53" s="38"/>
      <c r="T53" s="38"/>
      <c r="U53" s="19"/>
      <c r="V53" s="19"/>
      <c r="W53" s="19"/>
      <c r="X53" s="19"/>
      <c r="Y53" s="19"/>
      <c r="Z53" s="19"/>
    </row>
    <row r="54" spans="1:26" x14ac:dyDescent="0.2">
      <c r="A54" s="121"/>
      <c r="B54" s="121"/>
      <c r="C54" s="121"/>
      <c r="D54" s="22"/>
      <c r="E54" s="21"/>
      <c r="F54" s="21"/>
      <c r="G54" s="21"/>
      <c r="H54" s="121"/>
      <c r="I54" s="20"/>
      <c r="J54" s="20"/>
      <c r="K54" s="21"/>
      <c r="L54" s="22"/>
      <c r="M54" s="20"/>
      <c r="N54" s="19"/>
      <c r="O54" s="19"/>
      <c r="P54" s="22"/>
      <c r="Q54" s="43"/>
      <c r="R54" s="38"/>
      <c r="S54" s="38"/>
      <c r="T54" s="38"/>
      <c r="U54" s="19"/>
      <c r="V54" s="19"/>
      <c r="W54" s="19"/>
      <c r="X54" s="65"/>
      <c r="Y54" s="65"/>
      <c r="Z54" s="19"/>
    </row>
    <row r="55" spans="1:26" x14ac:dyDescent="0.2">
      <c r="A55" s="111"/>
      <c r="B55" s="111"/>
      <c r="C55" s="111"/>
      <c r="D55" s="22"/>
      <c r="E55" s="21"/>
      <c r="F55" s="21"/>
      <c r="G55" s="21"/>
      <c r="H55" s="111"/>
      <c r="I55" s="20"/>
      <c r="J55" s="20"/>
      <c r="K55" s="21"/>
      <c r="L55" s="22"/>
      <c r="M55" s="20"/>
      <c r="N55" s="19"/>
      <c r="O55" s="19"/>
      <c r="P55" s="22"/>
      <c r="Q55" s="43"/>
      <c r="R55" s="38"/>
      <c r="S55" s="38"/>
      <c r="T55" s="38"/>
      <c r="U55" s="19"/>
      <c r="V55" s="19"/>
      <c r="W55" s="19"/>
      <c r="X55" s="19"/>
      <c r="Y55" s="19"/>
      <c r="Z55" s="19"/>
    </row>
    <row r="56" spans="1:26" x14ac:dyDescent="0.2">
      <c r="A56" s="112"/>
      <c r="B56" s="112"/>
      <c r="C56" s="112"/>
      <c r="D56" s="22"/>
      <c r="E56" s="21"/>
      <c r="F56" s="21"/>
      <c r="G56" s="21"/>
      <c r="H56" s="112"/>
      <c r="I56" s="20"/>
      <c r="J56" s="20"/>
      <c r="K56" s="21"/>
      <c r="L56" s="22"/>
      <c r="M56" s="20"/>
      <c r="N56" s="19"/>
      <c r="O56" s="19"/>
      <c r="P56" s="22"/>
      <c r="Q56" s="43"/>
      <c r="R56" s="38"/>
      <c r="S56" s="38"/>
      <c r="T56" s="38"/>
      <c r="U56" s="19"/>
      <c r="V56" s="19"/>
      <c r="W56" s="19"/>
      <c r="X56" s="19"/>
      <c r="Y56" s="19"/>
      <c r="Z56" s="19"/>
    </row>
    <row r="57" spans="1:26" x14ac:dyDescent="0.2">
      <c r="A57" s="121"/>
      <c r="B57" s="121"/>
      <c r="C57" s="121"/>
      <c r="D57" s="22"/>
      <c r="E57" s="21"/>
      <c r="F57" s="21"/>
      <c r="G57" s="21"/>
      <c r="H57" s="121"/>
      <c r="I57" s="20"/>
      <c r="J57" s="20"/>
      <c r="K57" s="21"/>
      <c r="L57" s="22"/>
      <c r="M57" s="20"/>
      <c r="N57" s="19"/>
      <c r="O57" s="19"/>
      <c r="P57" s="22"/>
      <c r="Q57" s="43"/>
      <c r="R57" s="38"/>
      <c r="S57" s="38"/>
      <c r="T57" s="38"/>
      <c r="U57" s="19"/>
      <c r="V57" s="19"/>
      <c r="W57" s="19"/>
      <c r="X57" s="65"/>
      <c r="Y57" s="65"/>
      <c r="Z57" s="19"/>
    </row>
    <row r="58" spans="1:26" x14ac:dyDescent="0.2">
      <c r="A58" s="111"/>
      <c r="B58" s="111"/>
      <c r="C58" s="111"/>
      <c r="D58" s="22"/>
      <c r="E58" s="21"/>
      <c r="F58" s="21"/>
      <c r="G58" s="21"/>
      <c r="H58" s="111"/>
      <c r="I58" s="20"/>
      <c r="J58" s="20"/>
      <c r="K58" s="21"/>
      <c r="L58" s="22"/>
      <c r="M58" s="20"/>
      <c r="N58" s="19"/>
      <c r="O58" s="19"/>
      <c r="P58" s="22"/>
      <c r="Q58" s="43"/>
      <c r="R58" s="38"/>
      <c r="S58" s="38"/>
      <c r="T58" s="38"/>
      <c r="U58" s="19"/>
      <c r="V58" s="19"/>
      <c r="W58" s="19"/>
      <c r="X58" s="19"/>
      <c r="Y58" s="19"/>
      <c r="Z58" s="19"/>
    </row>
    <row r="59" spans="1:26" x14ac:dyDescent="0.2">
      <c r="A59" s="112"/>
      <c r="B59" s="112"/>
      <c r="C59" s="112"/>
      <c r="D59" s="22"/>
      <c r="E59" s="21"/>
      <c r="F59" s="21"/>
      <c r="G59" s="21"/>
      <c r="H59" s="112"/>
      <c r="I59" s="20"/>
      <c r="J59" s="20"/>
      <c r="K59" s="21"/>
      <c r="L59" s="22"/>
      <c r="M59" s="20"/>
      <c r="N59" s="19"/>
      <c r="O59" s="19"/>
      <c r="P59" s="22"/>
      <c r="Q59" s="43"/>
      <c r="R59" s="38"/>
      <c r="S59" s="38"/>
      <c r="T59" s="38"/>
      <c r="U59" s="19"/>
      <c r="V59" s="19"/>
      <c r="W59" s="19"/>
      <c r="X59" s="19"/>
      <c r="Y59" s="19"/>
      <c r="Z59" s="19"/>
    </row>
    <row r="60" spans="1:26" x14ac:dyDescent="0.2">
      <c r="A60" s="121"/>
      <c r="B60" s="121"/>
      <c r="C60" s="121"/>
      <c r="D60" s="22"/>
      <c r="E60" s="21"/>
      <c r="F60" s="21"/>
      <c r="G60" s="21"/>
      <c r="H60" s="121"/>
      <c r="I60" s="20"/>
      <c r="J60" s="20"/>
      <c r="K60" s="21"/>
      <c r="L60" s="22"/>
      <c r="M60" s="20"/>
      <c r="N60" s="19"/>
      <c r="O60" s="19"/>
      <c r="P60" s="22"/>
      <c r="Q60" s="43"/>
      <c r="R60" s="38"/>
      <c r="S60" s="38"/>
      <c r="T60" s="38"/>
      <c r="U60" s="19"/>
      <c r="V60" s="19"/>
      <c r="W60" s="19"/>
      <c r="X60" s="65"/>
      <c r="Y60" s="65"/>
      <c r="Z60" s="19"/>
    </row>
    <row r="61" spans="1:26" x14ac:dyDescent="0.2">
      <c r="A61" s="111"/>
      <c r="B61" s="111"/>
      <c r="C61" s="111"/>
      <c r="D61" s="22"/>
      <c r="E61" s="21"/>
      <c r="F61" s="21"/>
      <c r="G61" s="21"/>
      <c r="H61" s="111"/>
      <c r="I61" s="20"/>
      <c r="J61" s="20"/>
      <c r="K61" s="21"/>
      <c r="L61" s="22"/>
      <c r="M61" s="20"/>
      <c r="N61" s="19"/>
      <c r="O61" s="19"/>
      <c r="P61" s="22"/>
      <c r="Q61" s="43"/>
      <c r="R61" s="38"/>
      <c r="S61" s="38"/>
      <c r="T61" s="38"/>
      <c r="U61" s="19"/>
      <c r="V61" s="19"/>
      <c r="W61" s="19"/>
      <c r="X61" s="19"/>
      <c r="Y61" s="19"/>
      <c r="Z61" s="19"/>
    </row>
    <row r="62" spans="1:26" x14ac:dyDescent="0.2">
      <c r="A62" s="112"/>
      <c r="B62" s="112"/>
      <c r="C62" s="112"/>
      <c r="D62" s="22"/>
      <c r="E62" s="21"/>
      <c r="F62" s="21"/>
      <c r="G62" s="21"/>
      <c r="H62" s="112"/>
      <c r="I62" s="20"/>
      <c r="J62" s="20"/>
      <c r="K62" s="21"/>
      <c r="L62" s="22"/>
      <c r="M62" s="20"/>
      <c r="N62" s="19"/>
      <c r="O62" s="19"/>
      <c r="P62" s="22"/>
      <c r="Q62" s="43"/>
      <c r="R62" s="38"/>
      <c r="S62" s="38"/>
      <c r="T62" s="38"/>
      <c r="U62" s="19"/>
      <c r="V62" s="19"/>
      <c r="W62" s="19"/>
      <c r="X62" s="19"/>
      <c r="Y62" s="19"/>
      <c r="Z62" s="19"/>
    </row>
    <row r="63" spans="1:26" x14ac:dyDescent="0.2">
      <c r="A63" s="121"/>
      <c r="B63" s="121"/>
      <c r="C63" s="121"/>
      <c r="D63" s="22"/>
      <c r="E63" s="21"/>
      <c r="F63" s="21"/>
      <c r="G63" s="21"/>
      <c r="H63" s="121"/>
      <c r="I63" s="20"/>
      <c r="J63" s="20"/>
      <c r="K63" s="21"/>
      <c r="L63" s="22"/>
      <c r="M63" s="20"/>
      <c r="N63" s="19"/>
      <c r="O63" s="19"/>
      <c r="P63" s="22"/>
      <c r="Q63" s="43"/>
      <c r="R63" s="38"/>
      <c r="S63" s="38"/>
      <c r="T63" s="38"/>
      <c r="U63" s="19"/>
      <c r="V63" s="19"/>
      <c r="W63" s="19"/>
      <c r="X63" s="65"/>
      <c r="Y63" s="65"/>
      <c r="Z63" s="19"/>
    </row>
    <row r="64" spans="1:26" x14ac:dyDescent="0.2">
      <c r="A64" s="111"/>
      <c r="B64" s="111"/>
      <c r="C64" s="111"/>
      <c r="D64" s="22"/>
      <c r="E64" s="21"/>
      <c r="F64" s="21"/>
      <c r="G64" s="21"/>
      <c r="H64" s="111"/>
      <c r="I64" s="20"/>
      <c r="J64" s="20"/>
      <c r="K64" s="21"/>
      <c r="L64" s="22"/>
      <c r="M64" s="20"/>
      <c r="N64" s="19"/>
      <c r="O64" s="19"/>
      <c r="P64" s="22"/>
      <c r="Q64" s="43"/>
      <c r="R64" s="38"/>
      <c r="S64" s="38"/>
      <c r="T64" s="38"/>
      <c r="U64" s="19"/>
      <c r="V64" s="19"/>
      <c r="W64" s="19"/>
      <c r="X64" s="19"/>
      <c r="Y64" s="19"/>
      <c r="Z64" s="19"/>
    </row>
    <row r="65" spans="1:26" x14ac:dyDescent="0.2">
      <c r="A65" s="112"/>
      <c r="B65" s="112"/>
      <c r="C65" s="112"/>
      <c r="D65" s="22"/>
      <c r="E65" s="21"/>
      <c r="F65" s="21"/>
      <c r="G65" s="21"/>
      <c r="H65" s="112"/>
      <c r="I65" s="20"/>
      <c r="J65" s="20"/>
      <c r="K65" s="21"/>
      <c r="L65" s="22"/>
      <c r="M65" s="20"/>
      <c r="N65" s="19"/>
      <c r="O65" s="19"/>
      <c r="P65" s="22"/>
      <c r="Q65" s="43"/>
      <c r="R65" s="38"/>
      <c r="S65" s="38"/>
      <c r="T65" s="38"/>
      <c r="U65" s="19"/>
      <c r="V65" s="19"/>
      <c r="W65" s="19"/>
      <c r="X65" s="19"/>
      <c r="Y65" s="19"/>
      <c r="Z65" s="19"/>
    </row>
    <row r="66" spans="1:26" x14ac:dyDescent="0.2">
      <c r="A66" s="121"/>
      <c r="B66" s="121"/>
      <c r="C66" s="121"/>
      <c r="D66" s="22"/>
      <c r="E66" s="21"/>
      <c r="F66" s="21"/>
      <c r="G66" s="21"/>
      <c r="H66" s="121"/>
      <c r="I66" s="20"/>
      <c r="J66" s="20"/>
      <c r="K66" s="21"/>
      <c r="L66" s="22"/>
      <c r="M66" s="20"/>
      <c r="N66" s="19"/>
      <c r="O66" s="19"/>
      <c r="P66" s="22"/>
      <c r="Q66" s="43"/>
      <c r="R66" s="38"/>
      <c r="S66" s="38"/>
      <c r="T66" s="38"/>
      <c r="U66" s="19"/>
      <c r="V66" s="19"/>
      <c r="W66" s="19"/>
      <c r="X66" s="65"/>
      <c r="Y66" s="65"/>
      <c r="Z66" s="19"/>
    </row>
    <row r="67" spans="1:26" x14ac:dyDescent="0.2">
      <c r="A67" s="111"/>
      <c r="B67" s="111"/>
      <c r="C67" s="111"/>
      <c r="D67" s="22"/>
      <c r="E67" s="21"/>
      <c r="F67" s="21"/>
      <c r="G67" s="21"/>
      <c r="H67" s="111"/>
      <c r="I67" s="20"/>
      <c r="J67" s="20"/>
      <c r="K67" s="21"/>
      <c r="L67" s="22"/>
      <c r="M67" s="20"/>
      <c r="N67" s="19"/>
      <c r="O67" s="19"/>
      <c r="P67" s="22"/>
      <c r="Q67" s="43"/>
      <c r="R67" s="38"/>
      <c r="S67" s="38"/>
      <c r="T67" s="38"/>
      <c r="U67" s="19"/>
      <c r="V67" s="19"/>
      <c r="W67" s="19"/>
      <c r="X67" s="19"/>
      <c r="Y67" s="19"/>
      <c r="Z67" s="19"/>
    </row>
    <row r="68" spans="1:26" x14ac:dyDescent="0.2">
      <c r="A68" s="112"/>
      <c r="B68" s="112"/>
      <c r="C68" s="112"/>
      <c r="D68" s="22"/>
      <c r="E68" s="21"/>
      <c r="F68" s="21"/>
      <c r="G68" s="21"/>
      <c r="H68" s="112"/>
      <c r="I68" s="20"/>
      <c r="J68" s="20"/>
      <c r="K68" s="21"/>
      <c r="L68" s="22"/>
      <c r="M68" s="20"/>
      <c r="N68" s="19"/>
      <c r="O68" s="19"/>
      <c r="P68" s="22"/>
      <c r="Q68" s="43"/>
      <c r="R68" s="38"/>
      <c r="S68" s="38"/>
      <c r="T68" s="38"/>
      <c r="U68" s="19"/>
      <c r="V68" s="19"/>
      <c r="W68" s="19"/>
      <c r="X68" s="19"/>
      <c r="Y68" s="19"/>
      <c r="Z68" s="19"/>
    </row>
    <row r="69" spans="1:26" x14ac:dyDescent="0.2">
      <c r="A69" s="121"/>
      <c r="B69" s="121"/>
      <c r="C69" s="121"/>
      <c r="D69" s="22"/>
      <c r="E69" s="21"/>
      <c r="F69" s="21"/>
      <c r="G69" s="21"/>
      <c r="H69" s="121"/>
      <c r="I69" s="20"/>
      <c r="J69" s="20"/>
      <c r="K69" s="21"/>
      <c r="L69" s="22"/>
      <c r="M69" s="20"/>
      <c r="N69" s="19"/>
      <c r="O69" s="19"/>
      <c r="P69" s="22"/>
      <c r="Q69" s="43"/>
      <c r="R69" s="38"/>
      <c r="S69" s="38"/>
      <c r="T69" s="38"/>
      <c r="U69" s="19"/>
      <c r="V69" s="19"/>
      <c r="W69" s="19"/>
      <c r="X69" s="65"/>
      <c r="Y69" s="65"/>
      <c r="Z69" s="19"/>
    </row>
    <row r="70" spans="1:26" x14ac:dyDescent="0.2">
      <c r="A70" s="111"/>
      <c r="B70" s="111"/>
      <c r="C70" s="111"/>
      <c r="D70" s="22"/>
      <c r="E70" s="21"/>
      <c r="F70" s="21"/>
      <c r="G70" s="21"/>
      <c r="H70" s="111"/>
      <c r="I70" s="20"/>
      <c r="J70" s="20"/>
      <c r="K70" s="21"/>
      <c r="L70" s="22"/>
      <c r="M70" s="20"/>
      <c r="N70" s="19"/>
      <c r="O70" s="19"/>
      <c r="P70" s="22"/>
      <c r="Q70" s="43"/>
      <c r="R70" s="38"/>
      <c r="S70" s="38"/>
      <c r="T70" s="38"/>
      <c r="U70" s="19"/>
      <c r="V70" s="19"/>
      <c r="W70" s="19"/>
      <c r="X70" s="19"/>
      <c r="Y70" s="19"/>
      <c r="Z70" s="19"/>
    </row>
    <row r="71" spans="1:26" x14ac:dyDescent="0.2">
      <c r="A71" s="112"/>
      <c r="B71" s="112"/>
      <c r="C71" s="112"/>
      <c r="D71" s="22"/>
      <c r="E71" s="21"/>
      <c r="F71" s="21"/>
      <c r="G71" s="21"/>
      <c r="H71" s="112"/>
      <c r="I71" s="20"/>
      <c r="J71" s="20"/>
      <c r="K71" s="21"/>
      <c r="L71" s="22"/>
      <c r="M71" s="20"/>
      <c r="N71" s="19"/>
      <c r="O71" s="19"/>
      <c r="P71" s="22"/>
      <c r="Q71" s="43"/>
      <c r="R71" s="38"/>
      <c r="S71" s="38"/>
      <c r="T71" s="38"/>
      <c r="U71" s="19"/>
      <c r="V71" s="19"/>
      <c r="W71" s="19"/>
      <c r="X71" s="19"/>
      <c r="Y71" s="19"/>
      <c r="Z71" s="19"/>
    </row>
    <row r="72" spans="1:26" x14ac:dyDescent="0.2">
      <c r="A72" s="121"/>
      <c r="B72" s="121"/>
      <c r="C72" s="121"/>
      <c r="D72" s="22"/>
      <c r="E72" s="21"/>
      <c r="F72" s="21"/>
      <c r="G72" s="21"/>
      <c r="H72" s="121"/>
      <c r="I72" s="20"/>
      <c r="J72" s="20"/>
      <c r="K72" s="21"/>
      <c r="L72" s="22"/>
      <c r="M72" s="20"/>
      <c r="N72" s="19"/>
      <c r="O72" s="19"/>
      <c r="P72" s="22"/>
      <c r="Q72" s="43"/>
      <c r="R72" s="38"/>
      <c r="S72" s="38"/>
      <c r="T72" s="38"/>
      <c r="U72" s="19"/>
      <c r="V72" s="19"/>
      <c r="W72" s="19"/>
      <c r="X72" s="65"/>
      <c r="Y72" s="65"/>
      <c r="Z72" s="19"/>
    </row>
    <row r="73" spans="1:26" x14ac:dyDescent="0.2">
      <c r="A73" s="111"/>
      <c r="B73" s="111"/>
      <c r="C73" s="111"/>
      <c r="D73" s="22"/>
      <c r="E73" s="21"/>
      <c r="F73" s="21"/>
      <c r="G73" s="21"/>
      <c r="H73" s="111"/>
      <c r="I73" s="20"/>
      <c r="J73" s="20"/>
      <c r="K73" s="21"/>
      <c r="L73" s="22"/>
      <c r="M73" s="20"/>
      <c r="N73" s="19"/>
      <c r="O73" s="19"/>
      <c r="P73" s="22"/>
      <c r="Q73" s="43"/>
      <c r="R73" s="38"/>
      <c r="S73" s="38"/>
      <c r="T73" s="38"/>
      <c r="U73" s="19"/>
      <c r="V73" s="19"/>
      <c r="W73" s="19"/>
      <c r="X73" s="19"/>
      <c r="Y73" s="19"/>
      <c r="Z73" s="19"/>
    </row>
    <row r="74" spans="1:26" x14ac:dyDescent="0.2">
      <c r="A74" s="112"/>
      <c r="B74" s="112"/>
      <c r="C74" s="112"/>
      <c r="D74" s="22"/>
      <c r="E74" s="21"/>
      <c r="F74" s="21"/>
      <c r="G74" s="21"/>
      <c r="H74" s="112"/>
      <c r="I74" s="20"/>
      <c r="J74" s="20"/>
      <c r="K74" s="21"/>
      <c r="L74" s="22"/>
      <c r="M74" s="20"/>
      <c r="N74" s="19"/>
      <c r="O74" s="19"/>
      <c r="P74" s="22"/>
      <c r="Q74" s="43"/>
      <c r="R74" s="38"/>
      <c r="S74" s="38"/>
      <c r="T74" s="38"/>
      <c r="U74" s="19"/>
      <c r="V74" s="19"/>
      <c r="W74" s="19"/>
      <c r="X74" s="19"/>
      <c r="Y74" s="19"/>
      <c r="Z74" s="19"/>
    </row>
    <row r="75" spans="1:26" x14ac:dyDescent="0.2">
      <c r="A75" s="121"/>
      <c r="B75" s="121"/>
      <c r="C75" s="121"/>
      <c r="D75" s="22"/>
      <c r="E75" s="21"/>
      <c r="F75" s="21"/>
      <c r="G75" s="21"/>
      <c r="H75" s="121"/>
      <c r="I75" s="20"/>
      <c r="J75" s="20"/>
      <c r="K75" s="21"/>
      <c r="L75" s="22"/>
      <c r="M75" s="20"/>
      <c r="N75" s="19"/>
      <c r="O75" s="19"/>
      <c r="P75" s="22"/>
      <c r="Q75" s="43"/>
      <c r="R75" s="38"/>
      <c r="S75" s="38"/>
      <c r="T75" s="38"/>
      <c r="U75" s="19"/>
      <c r="V75" s="19"/>
      <c r="W75" s="19"/>
      <c r="X75" s="65"/>
      <c r="Y75" s="65"/>
      <c r="Z75" s="19"/>
    </row>
    <row r="76" spans="1:26" x14ac:dyDescent="0.2">
      <c r="A76" s="111"/>
      <c r="B76" s="111"/>
      <c r="C76" s="111"/>
      <c r="D76" s="22"/>
      <c r="E76" s="21"/>
      <c r="F76" s="21"/>
      <c r="G76" s="21"/>
      <c r="H76" s="111"/>
      <c r="I76" s="20"/>
      <c r="J76" s="20"/>
      <c r="K76" s="21"/>
      <c r="L76" s="22"/>
      <c r="M76" s="20"/>
      <c r="N76" s="19"/>
      <c r="O76" s="19"/>
      <c r="P76" s="22"/>
      <c r="Q76" s="43"/>
      <c r="R76" s="38"/>
      <c r="S76" s="38"/>
      <c r="T76" s="38"/>
      <c r="U76" s="19"/>
      <c r="V76" s="19"/>
      <c r="W76" s="19"/>
      <c r="X76" s="19"/>
      <c r="Y76" s="19"/>
      <c r="Z76" s="19"/>
    </row>
    <row r="77" spans="1:26" x14ac:dyDescent="0.2">
      <c r="A77" s="112"/>
      <c r="B77" s="112"/>
      <c r="C77" s="112"/>
      <c r="D77" s="22"/>
      <c r="E77" s="21"/>
      <c r="F77" s="21"/>
      <c r="G77" s="21"/>
      <c r="H77" s="112"/>
      <c r="I77" s="20"/>
      <c r="J77" s="20"/>
      <c r="K77" s="21"/>
      <c r="L77" s="22"/>
      <c r="M77" s="20"/>
      <c r="N77" s="19"/>
      <c r="O77" s="19"/>
      <c r="P77" s="22"/>
      <c r="Q77" s="43"/>
      <c r="R77" s="38"/>
      <c r="S77" s="38"/>
      <c r="T77" s="38"/>
      <c r="U77" s="19"/>
      <c r="V77" s="19"/>
      <c r="W77" s="19"/>
      <c r="X77" s="19"/>
      <c r="Y77" s="19"/>
      <c r="Z77" s="19"/>
    </row>
    <row r="78" spans="1:26" x14ac:dyDescent="0.2">
      <c r="A78" s="121"/>
      <c r="B78" s="121"/>
      <c r="C78" s="121"/>
      <c r="D78" s="22"/>
      <c r="E78" s="21"/>
      <c r="F78" s="21"/>
      <c r="G78" s="21"/>
      <c r="H78" s="121"/>
      <c r="I78" s="20"/>
      <c r="J78" s="20"/>
      <c r="K78" s="21"/>
      <c r="L78" s="22"/>
      <c r="M78" s="20"/>
      <c r="N78" s="19"/>
      <c r="O78" s="19"/>
      <c r="P78" s="22"/>
      <c r="Q78" s="43"/>
      <c r="R78" s="38"/>
      <c r="S78" s="38"/>
      <c r="T78" s="38"/>
      <c r="U78" s="19"/>
      <c r="V78" s="19"/>
      <c r="W78" s="19"/>
      <c r="X78" s="65"/>
      <c r="Y78" s="65"/>
      <c r="Z78" s="19"/>
    </row>
    <row r="79" spans="1:26" x14ac:dyDescent="0.2">
      <c r="A79" s="111"/>
      <c r="B79" s="111"/>
      <c r="C79" s="111"/>
      <c r="D79" s="22"/>
      <c r="E79" s="21"/>
      <c r="F79" s="21"/>
      <c r="G79" s="21"/>
      <c r="H79" s="111"/>
      <c r="I79" s="20"/>
      <c r="J79" s="20"/>
      <c r="K79" s="21"/>
      <c r="L79" s="22"/>
      <c r="M79" s="20"/>
      <c r="N79" s="19"/>
      <c r="O79" s="19"/>
      <c r="P79" s="22"/>
      <c r="Q79" s="43"/>
      <c r="R79" s="38"/>
      <c r="S79" s="38"/>
      <c r="T79" s="38"/>
      <c r="U79" s="19"/>
      <c r="V79" s="19"/>
      <c r="W79" s="19"/>
      <c r="X79" s="19"/>
      <c r="Y79" s="19"/>
      <c r="Z79" s="19"/>
    </row>
    <row r="80" spans="1:26" x14ac:dyDescent="0.2">
      <c r="A80" s="112"/>
      <c r="B80" s="112"/>
      <c r="C80" s="112"/>
      <c r="D80" s="22"/>
      <c r="E80" s="21"/>
      <c r="F80" s="21"/>
      <c r="G80" s="21"/>
      <c r="H80" s="112"/>
      <c r="I80" s="20"/>
      <c r="J80" s="20"/>
      <c r="K80" s="21"/>
      <c r="L80" s="22"/>
      <c r="M80" s="20"/>
      <c r="N80" s="19"/>
      <c r="O80" s="19"/>
      <c r="P80" s="22"/>
      <c r="Q80" s="43"/>
      <c r="R80" s="38"/>
      <c r="S80" s="38"/>
      <c r="T80" s="38"/>
      <c r="U80" s="19"/>
      <c r="V80" s="19"/>
      <c r="W80" s="19"/>
      <c r="X80" s="19"/>
      <c r="Y80" s="19"/>
      <c r="Z80" s="19"/>
    </row>
    <row r="81" spans="1:26" x14ac:dyDescent="0.2">
      <c r="A81" s="121"/>
      <c r="B81" s="121"/>
      <c r="C81" s="121"/>
      <c r="D81" s="22"/>
      <c r="E81" s="21"/>
      <c r="F81" s="21"/>
      <c r="G81" s="21"/>
      <c r="H81" s="121"/>
      <c r="I81" s="20"/>
      <c r="J81" s="20"/>
      <c r="K81" s="21"/>
      <c r="L81" s="22"/>
      <c r="M81" s="20"/>
      <c r="N81" s="19"/>
      <c r="O81" s="19"/>
      <c r="P81" s="22"/>
      <c r="Q81" s="43"/>
      <c r="R81" s="38"/>
      <c r="S81" s="38"/>
      <c r="T81" s="38"/>
      <c r="U81" s="19"/>
      <c r="V81" s="19"/>
      <c r="W81" s="19"/>
      <c r="X81" s="65"/>
      <c r="Y81" s="65"/>
      <c r="Z81" s="19"/>
    </row>
    <row r="82" spans="1:26" x14ac:dyDescent="0.2">
      <c r="A82" s="111"/>
      <c r="B82" s="111"/>
      <c r="C82" s="111"/>
      <c r="D82" s="22"/>
      <c r="E82" s="21"/>
      <c r="F82" s="21"/>
      <c r="G82" s="21"/>
      <c r="H82" s="111"/>
      <c r="I82" s="20"/>
      <c r="J82" s="20"/>
      <c r="K82" s="21"/>
      <c r="L82" s="22"/>
      <c r="M82" s="20"/>
      <c r="N82" s="19"/>
      <c r="O82" s="19"/>
      <c r="P82" s="22"/>
      <c r="Q82" s="43"/>
      <c r="R82" s="38"/>
      <c r="S82" s="38"/>
      <c r="T82" s="38"/>
      <c r="U82" s="19"/>
      <c r="V82" s="19"/>
      <c r="W82" s="19"/>
      <c r="X82" s="19"/>
      <c r="Y82" s="19"/>
      <c r="Z82" s="19"/>
    </row>
    <row r="83" spans="1:26" x14ac:dyDescent="0.2">
      <c r="A83" s="112"/>
      <c r="B83" s="112"/>
      <c r="C83" s="112"/>
      <c r="D83" s="22"/>
      <c r="E83" s="21"/>
      <c r="F83" s="21"/>
      <c r="G83" s="21"/>
      <c r="H83" s="112"/>
      <c r="I83" s="20"/>
      <c r="J83" s="20"/>
      <c r="K83" s="21"/>
      <c r="L83" s="22"/>
      <c r="M83" s="20"/>
      <c r="N83" s="19"/>
      <c r="O83" s="19"/>
      <c r="P83" s="22"/>
      <c r="Q83" s="43"/>
      <c r="R83" s="38"/>
      <c r="S83" s="38"/>
      <c r="T83" s="38"/>
      <c r="U83" s="19"/>
      <c r="V83" s="19"/>
      <c r="W83" s="19"/>
      <c r="X83" s="19"/>
      <c r="Y83" s="19"/>
      <c r="Z83" s="19"/>
    </row>
    <row r="84" spans="1:26" x14ac:dyDescent="0.2">
      <c r="A84" s="121"/>
      <c r="B84" s="121"/>
      <c r="C84" s="121"/>
      <c r="D84" s="22"/>
      <c r="E84" s="21"/>
      <c r="F84" s="21"/>
      <c r="G84" s="21"/>
      <c r="H84" s="121"/>
      <c r="I84" s="20"/>
      <c r="J84" s="20"/>
      <c r="K84" s="21"/>
      <c r="L84" s="22"/>
      <c r="M84" s="20"/>
      <c r="N84" s="19"/>
      <c r="O84" s="19"/>
      <c r="P84" s="22"/>
      <c r="Q84" s="43"/>
      <c r="R84" s="38"/>
      <c r="S84" s="38"/>
      <c r="T84" s="38"/>
      <c r="U84" s="19"/>
      <c r="V84" s="19"/>
      <c r="W84" s="19"/>
      <c r="X84" s="65"/>
      <c r="Y84" s="65"/>
      <c r="Z84" s="19"/>
    </row>
    <row r="85" spans="1:26" x14ac:dyDescent="0.2">
      <c r="A85" s="111"/>
      <c r="B85" s="111"/>
      <c r="C85" s="111"/>
      <c r="D85" s="22"/>
      <c r="E85" s="21"/>
      <c r="F85" s="21"/>
      <c r="G85" s="21"/>
      <c r="H85" s="111"/>
      <c r="I85" s="20"/>
      <c r="J85" s="20"/>
      <c r="K85" s="21"/>
      <c r="L85" s="22"/>
      <c r="M85" s="20"/>
      <c r="N85" s="19"/>
      <c r="O85" s="19"/>
      <c r="P85" s="22"/>
      <c r="Q85" s="43"/>
      <c r="R85" s="38"/>
      <c r="S85" s="38"/>
      <c r="T85" s="38"/>
      <c r="U85" s="19"/>
      <c r="V85" s="19"/>
      <c r="W85" s="19"/>
      <c r="X85" s="19"/>
      <c r="Y85" s="19"/>
      <c r="Z85" s="19"/>
    </row>
    <row r="86" spans="1:26" x14ac:dyDescent="0.2">
      <c r="A86" s="112"/>
      <c r="B86" s="112"/>
      <c r="C86" s="112"/>
      <c r="D86" s="22"/>
      <c r="E86" s="21"/>
      <c r="F86" s="21"/>
      <c r="G86" s="21"/>
      <c r="H86" s="112"/>
      <c r="I86" s="20"/>
      <c r="J86" s="20"/>
      <c r="K86" s="21"/>
      <c r="L86" s="22"/>
      <c r="M86" s="20"/>
      <c r="N86" s="19"/>
      <c r="O86" s="19"/>
      <c r="P86" s="22"/>
      <c r="Q86" s="43"/>
      <c r="R86" s="38"/>
      <c r="S86" s="38"/>
      <c r="T86" s="38"/>
      <c r="U86" s="19"/>
      <c r="V86" s="19"/>
      <c r="W86" s="19"/>
      <c r="X86" s="19"/>
      <c r="Y86" s="19"/>
      <c r="Z86" s="19"/>
    </row>
    <row r="87" spans="1:26" x14ac:dyDescent="0.2">
      <c r="A87" s="121"/>
      <c r="B87" s="121"/>
      <c r="C87" s="121"/>
      <c r="D87" s="22"/>
      <c r="E87" s="21"/>
      <c r="F87" s="21"/>
      <c r="G87" s="21"/>
      <c r="H87" s="121"/>
      <c r="I87" s="20"/>
      <c r="J87" s="20"/>
      <c r="K87" s="21"/>
      <c r="L87" s="22"/>
      <c r="M87" s="20"/>
      <c r="N87" s="19"/>
      <c r="O87" s="19"/>
      <c r="P87" s="22"/>
      <c r="Q87" s="43"/>
      <c r="R87" s="38"/>
      <c r="S87" s="38"/>
      <c r="T87" s="38"/>
      <c r="U87" s="19"/>
      <c r="V87" s="19"/>
      <c r="W87" s="19"/>
      <c r="X87" s="65"/>
      <c r="Y87" s="65"/>
      <c r="Z87" s="19"/>
    </row>
    <row r="88" spans="1:26" x14ac:dyDescent="0.2">
      <c r="A88" s="111"/>
      <c r="B88" s="111"/>
      <c r="C88" s="111"/>
      <c r="D88" s="22"/>
      <c r="E88" s="21"/>
      <c r="F88" s="21"/>
      <c r="G88" s="21"/>
      <c r="H88" s="111"/>
      <c r="I88" s="20"/>
      <c r="J88" s="20"/>
      <c r="K88" s="21"/>
      <c r="L88" s="22"/>
      <c r="M88" s="20"/>
      <c r="N88" s="19"/>
      <c r="O88" s="19"/>
      <c r="P88" s="22"/>
      <c r="Q88" s="43"/>
      <c r="R88" s="38"/>
      <c r="S88" s="38"/>
      <c r="T88" s="38"/>
      <c r="U88" s="19"/>
      <c r="V88" s="19"/>
      <c r="W88" s="19"/>
      <c r="X88" s="19"/>
      <c r="Y88" s="19"/>
      <c r="Z88" s="19"/>
    </row>
    <row r="89" spans="1:26" x14ac:dyDescent="0.2">
      <c r="A89" s="112"/>
      <c r="B89" s="112"/>
      <c r="C89" s="112"/>
      <c r="D89" s="22"/>
      <c r="E89" s="21"/>
      <c r="F89" s="21"/>
      <c r="G89" s="21"/>
      <c r="H89" s="112"/>
      <c r="I89" s="20"/>
      <c r="J89" s="20"/>
      <c r="K89" s="21"/>
      <c r="L89" s="22"/>
      <c r="M89" s="20"/>
      <c r="N89" s="19"/>
      <c r="O89" s="19"/>
      <c r="P89" s="22"/>
      <c r="Q89" s="43"/>
      <c r="R89" s="38"/>
      <c r="S89" s="38"/>
      <c r="T89" s="38"/>
      <c r="U89" s="19"/>
      <c r="V89" s="19"/>
      <c r="W89" s="19"/>
      <c r="X89" s="19"/>
      <c r="Y89" s="19"/>
      <c r="Z89" s="19"/>
    </row>
    <row r="90" spans="1:26" x14ac:dyDescent="0.2">
      <c r="A90" s="121"/>
      <c r="B90" s="121"/>
      <c r="C90" s="121"/>
      <c r="D90" s="22"/>
      <c r="E90" s="21"/>
      <c r="F90" s="21"/>
      <c r="G90" s="21"/>
      <c r="H90" s="121"/>
      <c r="I90" s="20"/>
      <c r="J90" s="20"/>
      <c r="K90" s="21"/>
      <c r="L90" s="22"/>
      <c r="M90" s="20"/>
      <c r="N90" s="19"/>
      <c r="O90" s="19"/>
      <c r="P90" s="22"/>
      <c r="Q90" s="43"/>
      <c r="R90" s="38"/>
      <c r="S90" s="38"/>
      <c r="T90" s="38"/>
      <c r="U90" s="19"/>
      <c r="V90" s="19"/>
      <c r="W90" s="19"/>
      <c r="X90" s="65"/>
      <c r="Y90" s="65"/>
      <c r="Z90" s="19"/>
    </row>
    <row r="91" spans="1:26" x14ac:dyDescent="0.2">
      <c r="A91" s="111"/>
      <c r="B91" s="111"/>
      <c r="C91" s="111"/>
      <c r="D91" s="22"/>
      <c r="E91" s="21"/>
      <c r="F91" s="21"/>
      <c r="G91" s="21"/>
      <c r="H91" s="111"/>
      <c r="I91" s="20"/>
      <c r="J91" s="20"/>
      <c r="K91" s="21"/>
      <c r="L91" s="22"/>
      <c r="M91" s="20"/>
      <c r="N91" s="19"/>
      <c r="O91" s="19"/>
      <c r="P91" s="22"/>
      <c r="Q91" s="43"/>
      <c r="R91" s="38"/>
      <c r="S91" s="38"/>
      <c r="T91" s="38"/>
      <c r="U91" s="19"/>
      <c r="V91" s="19"/>
      <c r="W91" s="19"/>
      <c r="X91" s="19"/>
      <c r="Y91" s="19"/>
      <c r="Z91" s="19"/>
    </row>
    <row r="92" spans="1:26" x14ac:dyDescent="0.2">
      <c r="A92" s="112"/>
      <c r="B92" s="112"/>
      <c r="C92" s="112"/>
      <c r="D92" s="22"/>
      <c r="E92" s="21"/>
      <c r="F92" s="21"/>
      <c r="G92" s="21"/>
      <c r="H92" s="112"/>
      <c r="I92" s="20"/>
      <c r="J92" s="20"/>
      <c r="K92" s="21"/>
      <c r="L92" s="22"/>
      <c r="M92" s="20"/>
      <c r="N92" s="19"/>
      <c r="O92" s="19"/>
      <c r="P92" s="22"/>
      <c r="Q92" s="43"/>
      <c r="R92" s="38"/>
      <c r="S92" s="38"/>
      <c r="T92" s="38"/>
      <c r="U92" s="19"/>
      <c r="V92" s="19"/>
      <c r="W92" s="19"/>
      <c r="X92" s="19"/>
      <c r="Y92" s="19"/>
      <c r="Z92" s="19"/>
    </row>
    <row r="93" spans="1:26" x14ac:dyDescent="0.2">
      <c r="A93" s="121"/>
      <c r="B93" s="121"/>
      <c r="C93" s="121"/>
      <c r="D93" s="22"/>
      <c r="E93" s="21"/>
      <c r="F93" s="21"/>
      <c r="G93" s="21"/>
      <c r="H93" s="121"/>
      <c r="I93" s="20"/>
      <c r="J93" s="20"/>
      <c r="K93" s="21"/>
      <c r="L93" s="22"/>
      <c r="M93" s="20"/>
      <c r="N93" s="19"/>
      <c r="O93" s="19"/>
      <c r="P93" s="22"/>
      <c r="Q93" s="43"/>
      <c r="R93" s="38"/>
      <c r="S93" s="38"/>
      <c r="T93" s="38"/>
      <c r="U93" s="19"/>
      <c r="V93" s="19"/>
      <c r="W93" s="19"/>
      <c r="X93" s="65"/>
      <c r="Y93" s="65"/>
      <c r="Z93" s="19"/>
    </row>
    <row r="94" spans="1:26" x14ac:dyDescent="0.2">
      <c r="A94" s="111"/>
      <c r="B94" s="111"/>
      <c r="C94" s="111"/>
      <c r="D94" s="22"/>
      <c r="E94" s="21"/>
      <c r="F94" s="21"/>
      <c r="G94" s="21"/>
      <c r="H94" s="111"/>
      <c r="I94" s="20"/>
      <c r="J94" s="20"/>
      <c r="K94" s="21"/>
      <c r="L94" s="22"/>
      <c r="M94" s="20"/>
      <c r="N94" s="19"/>
      <c r="O94" s="19"/>
      <c r="P94" s="22"/>
      <c r="Q94" s="43"/>
      <c r="R94" s="38"/>
      <c r="S94" s="38"/>
      <c r="T94" s="38"/>
      <c r="U94" s="19"/>
      <c r="V94" s="19"/>
      <c r="W94" s="19"/>
      <c r="X94" s="19"/>
      <c r="Y94" s="19"/>
      <c r="Z94" s="19"/>
    </row>
    <row r="95" spans="1:26" x14ac:dyDescent="0.2">
      <c r="A95" s="112"/>
      <c r="B95" s="112"/>
      <c r="C95" s="112"/>
      <c r="D95" s="22"/>
      <c r="E95" s="21"/>
      <c r="F95" s="21"/>
      <c r="G95" s="21"/>
      <c r="H95" s="112"/>
      <c r="I95" s="20"/>
      <c r="J95" s="20"/>
      <c r="K95" s="21"/>
      <c r="L95" s="22"/>
      <c r="M95" s="20"/>
      <c r="N95" s="19"/>
      <c r="O95" s="19"/>
      <c r="P95" s="22"/>
      <c r="Q95" s="43"/>
      <c r="R95" s="38"/>
      <c r="S95" s="38"/>
      <c r="T95" s="38"/>
      <c r="U95" s="19"/>
      <c r="V95" s="19"/>
      <c r="W95" s="19"/>
      <c r="X95" s="19"/>
      <c r="Y95" s="19"/>
      <c r="Z95" s="19"/>
    </row>
    <row r="96" spans="1:26" x14ac:dyDescent="0.2">
      <c r="A96" s="121"/>
      <c r="B96" s="121"/>
      <c r="C96" s="121"/>
      <c r="D96" s="22"/>
      <c r="E96" s="21"/>
      <c r="F96" s="21"/>
      <c r="G96" s="21"/>
      <c r="H96" s="121"/>
      <c r="I96" s="20"/>
      <c r="J96" s="20"/>
      <c r="K96" s="21"/>
      <c r="L96" s="22"/>
      <c r="M96" s="20"/>
      <c r="N96" s="19"/>
      <c r="O96" s="19"/>
      <c r="P96" s="22"/>
      <c r="Q96" s="43"/>
      <c r="R96" s="38"/>
      <c r="S96" s="38"/>
      <c r="T96" s="38"/>
      <c r="U96" s="19"/>
      <c r="V96" s="19"/>
      <c r="W96" s="19"/>
      <c r="X96" s="65"/>
      <c r="Y96" s="65"/>
      <c r="Z96" s="19"/>
    </row>
    <row r="97" spans="1:26" x14ac:dyDescent="0.2">
      <c r="A97" s="111"/>
      <c r="B97" s="111"/>
      <c r="C97" s="111"/>
      <c r="D97" s="22"/>
      <c r="E97" s="21"/>
      <c r="F97" s="21"/>
      <c r="G97" s="21"/>
      <c r="H97" s="111"/>
      <c r="I97" s="20"/>
      <c r="J97" s="20"/>
      <c r="K97" s="21"/>
      <c r="L97" s="22"/>
      <c r="M97" s="20"/>
      <c r="N97" s="19"/>
      <c r="O97" s="19"/>
      <c r="P97" s="22"/>
      <c r="Q97" s="43"/>
      <c r="R97" s="38"/>
      <c r="S97" s="38"/>
      <c r="T97" s="38"/>
      <c r="U97" s="19"/>
      <c r="V97" s="19"/>
      <c r="W97" s="19"/>
      <c r="X97" s="19"/>
      <c r="Y97" s="19"/>
      <c r="Z97" s="19"/>
    </row>
    <row r="98" spans="1:26" x14ac:dyDescent="0.2">
      <c r="A98" s="112"/>
      <c r="B98" s="112"/>
      <c r="C98" s="112"/>
      <c r="D98" s="22"/>
      <c r="E98" s="21"/>
      <c r="F98" s="21"/>
      <c r="G98" s="21"/>
      <c r="H98" s="112"/>
      <c r="I98" s="20"/>
      <c r="J98" s="20"/>
      <c r="K98" s="21"/>
      <c r="L98" s="22"/>
      <c r="M98" s="20"/>
      <c r="N98" s="19"/>
      <c r="O98" s="19"/>
      <c r="P98" s="22"/>
      <c r="Q98" s="43"/>
      <c r="R98" s="38"/>
      <c r="S98" s="38"/>
      <c r="T98" s="38"/>
      <c r="U98" s="19"/>
      <c r="V98" s="19"/>
      <c r="W98" s="19"/>
      <c r="X98" s="19"/>
      <c r="Y98" s="19"/>
      <c r="Z98" s="19"/>
    </row>
    <row r="99" spans="1:26" x14ac:dyDescent="0.2">
      <c r="A99" s="121"/>
      <c r="B99" s="121"/>
      <c r="C99" s="121"/>
      <c r="D99" s="22"/>
      <c r="E99" s="21"/>
      <c r="F99" s="21"/>
      <c r="G99" s="21"/>
      <c r="H99" s="121"/>
      <c r="I99" s="20"/>
      <c r="J99" s="20"/>
      <c r="K99" s="21"/>
      <c r="L99" s="22"/>
      <c r="M99" s="20"/>
      <c r="N99" s="19"/>
      <c r="O99" s="19"/>
      <c r="P99" s="22"/>
      <c r="Q99" s="43"/>
      <c r="R99" s="38"/>
      <c r="S99" s="38"/>
      <c r="T99" s="38"/>
      <c r="U99" s="19"/>
      <c r="V99" s="19"/>
      <c r="W99" s="19"/>
      <c r="X99" s="65"/>
      <c r="Y99" s="65"/>
      <c r="Z99" s="19"/>
    </row>
    <row r="100" spans="1:26" x14ac:dyDescent="0.2">
      <c r="A100" s="111"/>
      <c r="B100" s="111"/>
      <c r="C100" s="111"/>
      <c r="D100" s="22"/>
      <c r="E100" s="21"/>
      <c r="F100" s="21"/>
      <c r="G100" s="21"/>
      <c r="H100" s="111"/>
      <c r="I100" s="20"/>
      <c r="J100" s="20"/>
      <c r="K100" s="21"/>
      <c r="L100" s="22"/>
      <c r="M100" s="20"/>
      <c r="N100" s="19"/>
      <c r="O100" s="19"/>
      <c r="P100" s="22"/>
      <c r="Q100" s="43"/>
      <c r="R100" s="38"/>
      <c r="S100" s="38"/>
      <c r="T100" s="38"/>
      <c r="U100" s="19"/>
      <c r="V100" s="19"/>
      <c r="W100" s="19"/>
      <c r="X100" s="19"/>
      <c r="Y100" s="19"/>
      <c r="Z100" s="19"/>
    </row>
    <row r="101" spans="1:26" x14ac:dyDescent="0.2">
      <c r="A101" s="112"/>
      <c r="B101" s="112"/>
      <c r="C101" s="112"/>
      <c r="D101" s="22"/>
      <c r="E101" s="21"/>
      <c r="F101" s="21"/>
      <c r="G101" s="21"/>
      <c r="H101" s="112"/>
      <c r="I101" s="20"/>
      <c r="J101" s="20"/>
      <c r="K101" s="21"/>
      <c r="L101" s="22"/>
      <c r="M101" s="20"/>
      <c r="N101" s="19"/>
      <c r="O101" s="19"/>
      <c r="P101" s="22"/>
      <c r="Q101" s="43"/>
      <c r="R101" s="38"/>
      <c r="S101" s="38"/>
      <c r="T101" s="38"/>
      <c r="U101" s="19"/>
      <c r="V101" s="19"/>
      <c r="W101" s="19"/>
      <c r="X101" s="19"/>
      <c r="Y101" s="19"/>
      <c r="Z101" s="19"/>
    </row>
    <row r="102" spans="1:26" x14ac:dyDescent="0.2">
      <c r="A102" s="121"/>
      <c r="B102" s="121"/>
      <c r="C102" s="121"/>
      <c r="D102" s="22"/>
      <c r="E102" s="21"/>
      <c r="F102" s="21"/>
      <c r="G102" s="21"/>
      <c r="H102" s="121"/>
      <c r="I102" s="20"/>
      <c r="J102" s="20"/>
      <c r="K102" s="21"/>
      <c r="L102" s="22"/>
      <c r="M102" s="20"/>
      <c r="N102" s="19"/>
      <c r="O102" s="19"/>
      <c r="P102" s="22"/>
      <c r="Q102" s="43"/>
      <c r="R102" s="38"/>
      <c r="S102" s="38"/>
      <c r="T102" s="38"/>
      <c r="U102" s="19"/>
      <c r="V102" s="19"/>
      <c r="W102" s="19"/>
      <c r="X102" s="65"/>
      <c r="Y102" s="65"/>
      <c r="Z102" s="19"/>
    </row>
    <row r="103" spans="1:26" x14ac:dyDescent="0.2">
      <c r="A103" s="111"/>
      <c r="B103" s="111"/>
      <c r="C103" s="111"/>
      <c r="D103" s="22"/>
      <c r="E103" s="21"/>
      <c r="F103" s="21"/>
      <c r="G103" s="21"/>
      <c r="H103" s="111"/>
      <c r="I103" s="20"/>
      <c r="J103" s="20"/>
      <c r="K103" s="21"/>
      <c r="L103" s="22"/>
      <c r="M103" s="20"/>
      <c r="N103" s="19"/>
      <c r="O103" s="19"/>
      <c r="P103" s="22"/>
      <c r="Q103" s="43"/>
      <c r="R103" s="38"/>
      <c r="S103" s="38"/>
      <c r="T103" s="38"/>
      <c r="U103" s="19"/>
      <c r="V103" s="19"/>
      <c r="W103" s="19"/>
      <c r="X103" s="19"/>
      <c r="Y103" s="19"/>
      <c r="Z103" s="19"/>
    </row>
    <row r="104" spans="1:26" x14ac:dyDescent="0.2">
      <c r="A104" s="112"/>
      <c r="B104" s="112"/>
      <c r="C104" s="112"/>
      <c r="D104" s="22"/>
      <c r="E104" s="21"/>
      <c r="F104" s="21"/>
      <c r="G104" s="21"/>
      <c r="H104" s="112"/>
      <c r="I104" s="20"/>
      <c r="J104" s="20"/>
      <c r="K104" s="21"/>
      <c r="L104" s="22"/>
      <c r="M104" s="20"/>
      <c r="N104" s="19"/>
      <c r="O104" s="19"/>
      <c r="P104" s="22"/>
      <c r="Q104" s="43"/>
      <c r="R104" s="38"/>
      <c r="S104" s="38"/>
      <c r="T104" s="38"/>
      <c r="U104" s="19"/>
      <c r="V104" s="19"/>
      <c r="W104" s="19"/>
      <c r="X104" s="19"/>
      <c r="Y104" s="19"/>
      <c r="Z104" s="19"/>
    </row>
    <row r="105" spans="1:26" x14ac:dyDescent="0.2">
      <c r="A105" s="121"/>
      <c r="B105" s="121"/>
      <c r="C105" s="121"/>
      <c r="D105" s="22"/>
      <c r="E105" s="21"/>
      <c r="F105" s="21"/>
      <c r="G105" s="21"/>
      <c r="H105" s="121"/>
      <c r="I105" s="20"/>
      <c r="J105" s="20"/>
      <c r="K105" s="21"/>
      <c r="L105" s="22"/>
      <c r="M105" s="20"/>
      <c r="N105" s="19"/>
      <c r="O105" s="19"/>
      <c r="P105" s="22"/>
      <c r="Q105" s="43"/>
      <c r="R105" s="38"/>
      <c r="S105" s="38"/>
      <c r="T105" s="38"/>
      <c r="U105" s="19"/>
      <c r="V105" s="19"/>
      <c r="W105" s="19"/>
      <c r="X105" s="65"/>
      <c r="Y105" s="65"/>
      <c r="Z105" s="19"/>
    </row>
    <row r="106" spans="1:26" x14ac:dyDescent="0.2">
      <c r="A106" s="111"/>
      <c r="B106" s="111"/>
      <c r="C106" s="111"/>
      <c r="D106" s="22"/>
      <c r="E106" s="21"/>
      <c r="F106" s="21"/>
      <c r="G106" s="21"/>
      <c r="H106" s="111"/>
      <c r="I106" s="20"/>
      <c r="J106" s="20"/>
      <c r="K106" s="21"/>
      <c r="L106" s="22"/>
      <c r="M106" s="20"/>
      <c r="N106" s="19"/>
      <c r="O106" s="19"/>
      <c r="P106" s="22"/>
      <c r="Q106" s="43"/>
      <c r="R106" s="38"/>
      <c r="S106" s="38"/>
      <c r="T106" s="38"/>
      <c r="U106" s="19"/>
      <c r="V106" s="19"/>
      <c r="W106" s="19"/>
      <c r="X106" s="19"/>
      <c r="Y106" s="19"/>
      <c r="Z106" s="19"/>
    </row>
    <row r="107" spans="1:26" x14ac:dyDescent="0.2">
      <c r="A107" s="112"/>
      <c r="B107" s="112"/>
      <c r="C107" s="112"/>
      <c r="D107" s="22"/>
      <c r="E107" s="21"/>
      <c r="F107" s="21"/>
      <c r="G107" s="21"/>
      <c r="H107" s="112"/>
      <c r="I107" s="20"/>
      <c r="J107" s="20"/>
      <c r="K107" s="21"/>
      <c r="L107" s="22"/>
      <c r="M107" s="20"/>
      <c r="N107" s="19"/>
      <c r="O107" s="19"/>
      <c r="P107" s="22"/>
      <c r="Q107" s="43"/>
      <c r="R107" s="38"/>
      <c r="S107" s="38"/>
      <c r="T107" s="38"/>
      <c r="U107" s="19"/>
      <c r="V107" s="19"/>
      <c r="W107" s="19"/>
      <c r="X107" s="19"/>
      <c r="Y107" s="19"/>
      <c r="Z107" s="19"/>
    </row>
    <row r="108" spans="1:26" x14ac:dyDescent="0.2">
      <c r="A108" s="121"/>
      <c r="B108" s="121"/>
      <c r="C108" s="121"/>
      <c r="D108" s="22"/>
      <c r="E108" s="21"/>
      <c r="F108" s="21"/>
      <c r="G108" s="21"/>
      <c r="H108" s="121"/>
      <c r="I108" s="20"/>
      <c r="J108" s="20"/>
      <c r="K108" s="21"/>
      <c r="L108" s="22"/>
      <c r="M108" s="20"/>
      <c r="N108" s="19"/>
      <c r="O108" s="19"/>
      <c r="P108" s="22"/>
      <c r="Q108" s="43"/>
      <c r="R108" s="38"/>
      <c r="S108" s="38"/>
      <c r="T108" s="38"/>
      <c r="U108" s="19"/>
      <c r="V108" s="19"/>
      <c r="W108" s="19"/>
      <c r="X108" s="65"/>
      <c r="Y108" s="65"/>
      <c r="Z108" s="19"/>
    </row>
    <row r="109" spans="1:26" x14ac:dyDescent="0.2">
      <c r="A109" s="111"/>
      <c r="B109" s="111"/>
      <c r="C109" s="111"/>
      <c r="D109" s="22"/>
      <c r="E109" s="21"/>
      <c r="F109" s="21"/>
      <c r="G109" s="21"/>
      <c r="H109" s="111"/>
      <c r="I109" s="20"/>
      <c r="J109" s="20"/>
      <c r="K109" s="21"/>
      <c r="L109" s="22"/>
      <c r="M109" s="20"/>
      <c r="N109" s="19"/>
      <c r="O109" s="19"/>
      <c r="P109" s="22"/>
      <c r="Q109" s="43"/>
      <c r="R109" s="38"/>
      <c r="S109" s="38"/>
      <c r="T109" s="38"/>
      <c r="U109" s="19"/>
      <c r="V109" s="19"/>
      <c r="W109" s="19"/>
      <c r="X109" s="19"/>
      <c r="Y109" s="19"/>
      <c r="Z109" s="19"/>
    </row>
    <row r="110" spans="1:26" x14ac:dyDescent="0.2">
      <c r="A110" s="112"/>
      <c r="B110" s="112"/>
      <c r="C110" s="112"/>
      <c r="D110" s="22"/>
      <c r="E110" s="21"/>
      <c r="F110" s="21"/>
      <c r="G110" s="21"/>
      <c r="H110" s="112"/>
      <c r="I110" s="20"/>
      <c r="J110" s="20"/>
      <c r="K110" s="21"/>
      <c r="L110" s="22"/>
      <c r="M110" s="20"/>
      <c r="N110" s="19"/>
      <c r="O110" s="19"/>
      <c r="P110" s="22"/>
      <c r="Q110" s="43"/>
      <c r="R110" s="38"/>
      <c r="S110" s="38"/>
      <c r="T110" s="38"/>
      <c r="U110" s="19"/>
      <c r="V110" s="19"/>
      <c r="W110" s="19"/>
      <c r="X110" s="19"/>
      <c r="Y110" s="19"/>
      <c r="Z110" s="19"/>
    </row>
    <row r="111" spans="1:26" x14ac:dyDescent="0.2">
      <c r="A111" s="121"/>
      <c r="B111" s="121"/>
      <c r="C111" s="121"/>
      <c r="D111" s="22"/>
      <c r="E111" s="21"/>
      <c r="F111" s="21"/>
      <c r="G111" s="21"/>
      <c r="H111" s="121"/>
      <c r="I111" s="20"/>
      <c r="J111" s="20"/>
      <c r="K111" s="21"/>
      <c r="L111" s="22"/>
      <c r="M111" s="20"/>
      <c r="N111" s="19"/>
      <c r="O111" s="19"/>
      <c r="P111" s="22"/>
      <c r="Q111" s="43"/>
      <c r="R111" s="38"/>
      <c r="S111" s="38"/>
      <c r="T111" s="38"/>
      <c r="U111" s="19"/>
      <c r="V111" s="19"/>
      <c r="W111" s="19"/>
      <c r="X111" s="65"/>
      <c r="Y111" s="65"/>
      <c r="Z111" s="19"/>
    </row>
    <row r="112" spans="1:26" x14ac:dyDescent="0.2">
      <c r="A112" s="111"/>
      <c r="B112" s="111"/>
      <c r="C112" s="111"/>
      <c r="D112" s="22"/>
      <c r="E112" s="21"/>
      <c r="F112" s="21"/>
      <c r="G112" s="21"/>
      <c r="H112" s="111"/>
      <c r="I112" s="20"/>
      <c r="J112" s="20"/>
      <c r="K112" s="21"/>
      <c r="L112" s="22"/>
      <c r="M112" s="20"/>
      <c r="N112" s="19"/>
      <c r="O112" s="19"/>
      <c r="P112" s="22"/>
      <c r="Q112" s="43"/>
      <c r="R112" s="38"/>
      <c r="S112" s="38"/>
      <c r="T112" s="38"/>
      <c r="U112" s="19"/>
      <c r="V112" s="19"/>
      <c r="W112" s="19"/>
      <c r="X112" s="19"/>
      <c r="Y112" s="19"/>
      <c r="Z112" s="19"/>
    </row>
    <row r="113" spans="1:26" x14ac:dyDescent="0.2">
      <c r="A113" s="112"/>
      <c r="B113" s="112"/>
      <c r="C113" s="112"/>
      <c r="D113" s="22"/>
      <c r="E113" s="21"/>
      <c r="F113" s="21"/>
      <c r="G113" s="21"/>
      <c r="H113" s="112"/>
      <c r="I113" s="20"/>
      <c r="J113" s="20"/>
      <c r="K113" s="21"/>
      <c r="L113" s="22"/>
      <c r="M113" s="20"/>
      <c r="N113" s="19"/>
      <c r="O113" s="19"/>
      <c r="P113" s="22"/>
      <c r="Q113" s="43"/>
      <c r="R113" s="38"/>
      <c r="S113" s="38"/>
      <c r="T113" s="38"/>
      <c r="U113" s="19"/>
      <c r="V113" s="19"/>
      <c r="W113" s="19"/>
      <c r="X113" s="19"/>
      <c r="Y113" s="19"/>
      <c r="Z113" s="19"/>
    </row>
    <row r="114" spans="1:26" x14ac:dyDescent="0.2">
      <c r="A114" s="121"/>
      <c r="B114" s="121"/>
      <c r="C114" s="121"/>
      <c r="D114" s="22"/>
      <c r="E114" s="21"/>
      <c r="F114" s="21"/>
      <c r="G114" s="21"/>
      <c r="H114" s="121"/>
      <c r="I114" s="20"/>
      <c r="J114" s="20"/>
      <c r="K114" s="21"/>
      <c r="L114" s="22"/>
      <c r="M114" s="20"/>
      <c r="N114" s="19"/>
      <c r="O114" s="19"/>
      <c r="P114" s="22"/>
      <c r="Q114" s="43"/>
      <c r="R114" s="38"/>
      <c r="S114" s="38"/>
      <c r="T114" s="38"/>
      <c r="U114" s="19"/>
      <c r="V114" s="19"/>
      <c r="W114" s="19"/>
      <c r="X114" s="65"/>
      <c r="Y114" s="65"/>
      <c r="Z114" s="19"/>
    </row>
    <row r="115" spans="1:26" x14ac:dyDescent="0.2">
      <c r="A115" s="111"/>
      <c r="B115" s="111"/>
      <c r="C115" s="111"/>
      <c r="D115" s="22"/>
      <c r="E115" s="21"/>
      <c r="F115" s="21"/>
      <c r="G115" s="21"/>
      <c r="H115" s="111"/>
      <c r="I115" s="20"/>
      <c r="J115" s="20"/>
      <c r="K115" s="21"/>
      <c r="L115" s="22"/>
      <c r="M115" s="20"/>
      <c r="N115" s="19"/>
      <c r="O115" s="19"/>
      <c r="P115" s="22"/>
      <c r="Q115" s="43"/>
      <c r="R115" s="38"/>
      <c r="S115" s="38"/>
      <c r="T115" s="38"/>
      <c r="U115" s="19"/>
      <c r="V115" s="19"/>
      <c r="W115" s="19"/>
      <c r="X115" s="19"/>
      <c r="Y115" s="19"/>
      <c r="Z115" s="19"/>
    </row>
    <row r="116" spans="1:26" x14ac:dyDescent="0.2">
      <c r="A116" s="112"/>
      <c r="B116" s="112"/>
      <c r="C116" s="112"/>
      <c r="D116" s="22"/>
      <c r="E116" s="21"/>
      <c r="F116" s="21"/>
      <c r="G116" s="21"/>
      <c r="H116" s="112"/>
      <c r="I116" s="20"/>
      <c r="J116" s="20"/>
      <c r="K116" s="21"/>
      <c r="L116" s="22"/>
      <c r="M116" s="20"/>
      <c r="N116" s="19"/>
      <c r="O116" s="19"/>
      <c r="P116" s="22"/>
      <c r="Q116" s="43"/>
      <c r="R116" s="38"/>
      <c r="S116" s="38"/>
      <c r="T116" s="38"/>
      <c r="U116" s="19"/>
      <c r="V116" s="19"/>
      <c r="W116" s="19"/>
      <c r="X116" s="19"/>
      <c r="Y116" s="19"/>
      <c r="Z116" s="19"/>
    </row>
    <row r="117" spans="1:26" x14ac:dyDescent="0.2">
      <c r="A117" s="121"/>
      <c r="B117" s="121"/>
      <c r="C117" s="121"/>
      <c r="D117" s="22"/>
      <c r="E117" s="21"/>
      <c r="F117" s="21"/>
      <c r="G117" s="21"/>
      <c r="H117" s="121"/>
      <c r="I117" s="20"/>
      <c r="J117" s="20"/>
      <c r="K117" s="21"/>
      <c r="L117" s="22"/>
      <c r="M117" s="20"/>
      <c r="N117" s="19"/>
      <c r="O117" s="19"/>
      <c r="P117" s="22"/>
      <c r="Q117" s="43"/>
      <c r="R117" s="38"/>
      <c r="S117" s="38"/>
      <c r="T117" s="38"/>
      <c r="U117" s="19"/>
      <c r="V117" s="19"/>
      <c r="W117" s="19"/>
      <c r="X117" s="65"/>
      <c r="Y117" s="65"/>
      <c r="Z117" s="19"/>
    </row>
    <row r="118" spans="1:26" x14ac:dyDescent="0.2">
      <c r="A118" s="111"/>
      <c r="B118" s="111"/>
      <c r="C118" s="111"/>
      <c r="D118" s="22"/>
      <c r="E118" s="21"/>
      <c r="F118" s="21"/>
      <c r="G118" s="21"/>
      <c r="H118" s="111"/>
      <c r="I118" s="20"/>
      <c r="J118" s="20"/>
      <c r="K118" s="21"/>
      <c r="L118" s="22"/>
      <c r="M118" s="20"/>
      <c r="N118" s="19"/>
      <c r="O118" s="19"/>
      <c r="P118" s="22"/>
      <c r="Q118" s="43"/>
      <c r="R118" s="38"/>
      <c r="S118" s="38"/>
      <c r="T118" s="38"/>
      <c r="U118" s="19"/>
      <c r="V118" s="19"/>
      <c r="W118" s="19"/>
      <c r="X118" s="19"/>
      <c r="Y118" s="19"/>
      <c r="Z118" s="19"/>
    </row>
    <row r="119" spans="1:26" x14ac:dyDescent="0.2">
      <c r="A119" s="112"/>
      <c r="B119" s="112"/>
      <c r="C119" s="112"/>
      <c r="D119" s="22"/>
      <c r="E119" s="21"/>
      <c r="F119" s="21"/>
      <c r="G119" s="21"/>
      <c r="H119" s="112"/>
      <c r="I119" s="20"/>
      <c r="J119" s="20"/>
      <c r="K119" s="21"/>
      <c r="L119" s="22"/>
      <c r="M119" s="20"/>
      <c r="N119" s="19"/>
      <c r="O119" s="19"/>
      <c r="P119" s="22"/>
      <c r="Q119" s="43"/>
      <c r="R119" s="38"/>
      <c r="S119" s="38"/>
      <c r="T119" s="38"/>
      <c r="U119" s="19"/>
      <c r="V119" s="19"/>
      <c r="W119" s="19"/>
      <c r="X119" s="19"/>
      <c r="Y119" s="19"/>
      <c r="Z119" s="19"/>
    </row>
    <row r="120" spans="1:26" x14ac:dyDescent="0.2">
      <c r="A120" s="121"/>
      <c r="B120" s="121"/>
      <c r="C120" s="121"/>
      <c r="D120" s="22"/>
      <c r="E120" s="21"/>
      <c r="F120" s="21"/>
      <c r="G120" s="21"/>
      <c r="H120" s="121"/>
      <c r="I120" s="20"/>
      <c r="J120" s="20"/>
      <c r="K120" s="21"/>
      <c r="L120" s="22"/>
      <c r="M120" s="20"/>
      <c r="N120" s="19"/>
      <c r="O120" s="19"/>
      <c r="P120" s="22"/>
      <c r="Q120" s="43"/>
      <c r="R120" s="38"/>
      <c r="S120" s="38"/>
      <c r="T120" s="38"/>
      <c r="U120" s="19"/>
      <c r="V120" s="19"/>
      <c r="W120" s="19"/>
      <c r="X120" s="65"/>
      <c r="Y120" s="65"/>
      <c r="Z120" s="19"/>
    </row>
    <row r="121" spans="1:26" x14ac:dyDescent="0.2">
      <c r="A121" s="111"/>
      <c r="B121" s="111"/>
      <c r="C121" s="111"/>
      <c r="D121" s="22"/>
      <c r="E121" s="21"/>
      <c r="F121" s="21"/>
      <c r="G121" s="21"/>
      <c r="H121" s="111"/>
      <c r="I121" s="20"/>
      <c r="J121" s="20"/>
      <c r="K121" s="21"/>
      <c r="L121" s="22"/>
      <c r="M121" s="20"/>
      <c r="N121" s="19"/>
      <c r="O121" s="19"/>
      <c r="P121" s="22"/>
      <c r="Q121" s="43"/>
      <c r="R121" s="38"/>
      <c r="S121" s="38"/>
      <c r="T121" s="38"/>
      <c r="U121" s="19"/>
      <c r="V121" s="19"/>
      <c r="W121" s="19"/>
      <c r="X121" s="19"/>
      <c r="Y121" s="19"/>
      <c r="Z121" s="19"/>
    </row>
    <row r="122" spans="1:26" x14ac:dyDescent="0.2">
      <c r="A122" s="112"/>
      <c r="B122" s="112"/>
      <c r="C122" s="112"/>
      <c r="D122" s="22"/>
      <c r="E122" s="21"/>
      <c r="F122" s="21"/>
      <c r="G122" s="21"/>
      <c r="H122" s="112"/>
      <c r="I122" s="20"/>
      <c r="J122" s="20"/>
      <c r="K122" s="21"/>
      <c r="L122" s="22"/>
      <c r="M122" s="20"/>
      <c r="N122" s="19"/>
      <c r="O122" s="19"/>
      <c r="P122" s="22"/>
      <c r="Q122" s="43"/>
      <c r="R122" s="38"/>
      <c r="S122" s="38"/>
      <c r="T122" s="38"/>
      <c r="U122" s="19"/>
      <c r="V122" s="19"/>
      <c r="W122" s="19"/>
      <c r="X122" s="19"/>
      <c r="Y122" s="19"/>
      <c r="Z122" s="19"/>
    </row>
    <row r="123" spans="1:26" x14ac:dyDescent="0.2">
      <c r="A123" s="121"/>
      <c r="B123" s="121"/>
      <c r="C123" s="121"/>
      <c r="D123" s="22"/>
      <c r="E123" s="21"/>
      <c r="F123" s="21"/>
      <c r="G123" s="21"/>
      <c r="H123" s="121"/>
      <c r="I123" s="20"/>
      <c r="J123" s="20"/>
      <c r="K123" s="21"/>
      <c r="L123" s="22"/>
      <c r="M123" s="20"/>
      <c r="N123" s="19"/>
      <c r="O123" s="19"/>
      <c r="P123" s="22"/>
      <c r="Q123" s="43"/>
      <c r="R123" s="38"/>
      <c r="S123" s="38"/>
      <c r="T123" s="38"/>
      <c r="U123" s="19"/>
      <c r="V123" s="19"/>
      <c r="W123" s="19"/>
      <c r="X123" s="65"/>
      <c r="Y123" s="65"/>
      <c r="Z123" s="19"/>
    </row>
    <row r="124" spans="1:26" x14ac:dyDescent="0.2">
      <c r="A124" s="111"/>
      <c r="B124" s="111"/>
      <c r="C124" s="111"/>
      <c r="D124" s="22"/>
      <c r="E124" s="21"/>
      <c r="F124" s="21"/>
      <c r="G124" s="21"/>
      <c r="H124" s="111"/>
      <c r="I124" s="20"/>
      <c r="J124" s="20"/>
      <c r="K124" s="21"/>
      <c r="L124" s="22"/>
      <c r="M124" s="20"/>
      <c r="N124" s="19"/>
      <c r="O124" s="19"/>
      <c r="P124" s="22"/>
      <c r="Q124" s="43"/>
      <c r="R124" s="38"/>
      <c r="S124" s="38"/>
      <c r="T124" s="38"/>
      <c r="U124" s="19"/>
      <c r="V124" s="19"/>
      <c r="W124" s="19"/>
      <c r="X124" s="19"/>
      <c r="Y124" s="19"/>
      <c r="Z124" s="19"/>
    </row>
    <row r="125" spans="1:26" x14ac:dyDescent="0.2">
      <c r="A125" s="112"/>
      <c r="B125" s="112"/>
      <c r="C125" s="112"/>
      <c r="D125" s="22"/>
      <c r="E125" s="21"/>
      <c r="F125" s="21"/>
      <c r="G125" s="21"/>
      <c r="H125" s="112"/>
      <c r="I125" s="20"/>
      <c r="J125" s="20"/>
      <c r="K125" s="21"/>
      <c r="L125" s="22"/>
      <c r="M125" s="20"/>
      <c r="N125" s="19"/>
      <c r="O125" s="19"/>
      <c r="P125" s="22"/>
      <c r="Q125" s="43"/>
      <c r="R125" s="38"/>
      <c r="S125" s="38"/>
      <c r="T125" s="38"/>
      <c r="U125" s="19"/>
      <c r="V125" s="19"/>
      <c r="W125" s="19"/>
      <c r="X125" s="19"/>
      <c r="Y125" s="19"/>
      <c r="Z125" s="19"/>
    </row>
    <row r="126" spans="1:26" x14ac:dyDescent="0.2">
      <c r="A126" s="121"/>
      <c r="B126" s="121"/>
      <c r="C126" s="121"/>
      <c r="D126" s="22"/>
      <c r="E126" s="21"/>
      <c r="F126" s="21"/>
      <c r="G126" s="21"/>
      <c r="H126" s="121"/>
      <c r="I126" s="20"/>
      <c r="J126" s="20"/>
      <c r="K126" s="21"/>
      <c r="L126" s="22"/>
      <c r="M126" s="20"/>
      <c r="N126" s="19"/>
      <c r="O126" s="19"/>
      <c r="P126" s="22"/>
      <c r="Q126" s="43"/>
      <c r="R126" s="38"/>
      <c r="S126" s="38"/>
      <c r="T126" s="38"/>
      <c r="U126" s="19"/>
      <c r="V126" s="19"/>
      <c r="W126" s="19"/>
      <c r="X126" s="65"/>
      <c r="Y126" s="65"/>
      <c r="Z126" s="19"/>
    </row>
    <row r="127" spans="1:26" x14ac:dyDescent="0.2">
      <c r="A127" s="111"/>
      <c r="B127" s="111"/>
      <c r="C127" s="111"/>
      <c r="D127" s="22"/>
      <c r="E127" s="21"/>
      <c r="F127" s="21"/>
      <c r="G127" s="21"/>
      <c r="H127" s="111"/>
      <c r="I127" s="20"/>
      <c r="J127" s="20"/>
      <c r="K127" s="21"/>
      <c r="L127" s="22"/>
      <c r="M127" s="20"/>
      <c r="N127" s="19"/>
      <c r="O127" s="19"/>
      <c r="P127" s="22"/>
      <c r="Q127" s="43"/>
      <c r="R127" s="38"/>
      <c r="S127" s="38"/>
      <c r="T127" s="38"/>
      <c r="U127" s="19"/>
      <c r="V127" s="19"/>
      <c r="W127" s="19"/>
      <c r="X127" s="19"/>
      <c r="Y127" s="19"/>
      <c r="Z127" s="19"/>
    </row>
    <row r="128" spans="1:26" x14ac:dyDescent="0.2">
      <c r="A128" s="112"/>
      <c r="B128" s="112"/>
      <c r="C128" s="112"/>
      <c r="D128" s="22"/>
      <c r="E128" s="21"/>
      <c r="F128" s="21"/>
      <c r="G128" s="21"/>
      <c r="H128" s="112"/>
      <c r="I128" s="20"/>
      <c r="J128" s="20"/>
      <c r="K128" s="21"/>
      <c r="L128" s="22"/>
      <c r="M128" s="20"/>
      <c r="N128" s="19"/>
      <c r="O128" s="19"/>
      <c r="P128" s="22"/>
      <c r="Q128" s="43"/>
      <c r="R128" s="38"/>
      <c r="S128" s="38"/>
      <c r="T128" s="38"/>
      <c r="U128" s="19"/>
      <c r="V128" s="19"/>
      <c r="W128" s="19"/>
      <c r="X128" s="19"/>
      <c r="Y128" s="19"/>
      <c r="Z128" s="19"/>
    </row>
    <row r="129" spans="1:26" x14ac:dyDescent="0.2">
      <c r="A129" s="121"/>
      <c r="B129" s="121"/>
      <c r="C129" s="121"/>
      <c r="D129" s="22"/>
      <c r="E129" s="21"/>
      <c r="F129" s="21"/>
      <c r="G129" s="21"/>
      <c r="H129" s="121"/>
      <c r="I129" s="20"/>
      <c r="J129" s="20"/>
      <c r="K129" s="21"/>
      <c r="L129" s="22"/>
      <c r="M129" s="20"/>
      <c r="N129" s="19"/>
      <c r="O129" s="19"/>
      <c r="P129" s="22"/>
      <c r="Q129" s="43"/>
      <c r="R129" s="38"/>
      <c r="S129" s="38"/>
      <c r="T129" s="38"/>
      <c r="U129" s="19"/>
      <c r="V129" s="19"/>
      <c r="W129" s="19"/>
      <c r="X129" s="65"/>
      <c r="Y129" s="65"/>
      <c r="Z129" s="19"/>
    </row>
    <row r="130" spans="1:26" x14ac:dyDescent="0.2">
      <c r="A130" s="111"/>
      <c r="B130" s="111"/>
      <c r="C130" s="111"/>
      <c r="D130" s="22"/>
      <c r="E130" s="21"/>
      <c r="F130" s="21"/>
      <c r="G130" s="21"/>
      <c r="H130" s="111"/>
      <c r="I130" s="20"/>
      <c r="J130" s="20"/>
      <c r="K130" s="21"/>
      <c r="L130" s="22"/>
      <c r="M130" s="20"/>
      <c r="N130" s="19"/>
      <c r="O130" s="19"/>
      <c r="P130" s="22"/>
      <c r="Q130" s="43"/>
      <c r="R130" s="38"/>
      <c r="S130" s="38"/>
      <c r="T130" s="38"/>
      <c r="U130" s="19"/>
      <c r="V130" s="19"/>
      <c r="W130" s="19"/>
      <c r="X130" s="19"/>
      <c r="Y130" s="19"/>
      <c r="Z130" s="19"/>
    </row>
    <row r="131" spans="1:26" x14ac:dyDescent="0.2">
      <c r="A131" s="112"/>
      <c r="B131" s="112"/>
      <c r="C131" s="112"/>
      <c r="D131" s="22"/>
      <c r="E131" s="21"/>
      <c r="F131" s="21"/>
      <c r="G131" s="21"/>
      <c r="H131" s="112"/>
      <c r="I131" s="20"/>
      <c r="J131" s="20"/>
      <c r="K131" s="21"/>
      <c r="L131" s="22"/>
      <c r="M131" s="20"/>
      <c r="N131" s="19"/>
      <c r="O131" s="19"/>
      <c r="P131" s="22"/>
      <c r="Q131" s="43"/>
      <c r="R131" s="38"/>
      <c r="S131" s="38"/>
      <c r="T131" s="38"/>
      <c r="U131" s="19"/>
      <c r="V131" s="19"/>
      <c r="W131" s="19"/>
      <c r="X131" s="19"/>
      <c r="Y131" s="19"/>
      <c r="Z131" s="19"/>
    </row>
    <row r="132" spans="1:26" x14ac:dyDescent="0.2">
      <c r="A132" s="121"/>
      <c r="B132" s="121"/>
      <c r="C132" s="121"/>
      <c r="D132" s="22"/>
      <c r="E132" s="21"/>
      <c r="F132" s="21"/>
      <c r="G132" s="21"/>
      <c r="H132" s="121"/>
      <c r="I132" s="20"/>
      <c r="J132" s="20"/>
      <c r="K132" s="21"/>
      <c r="L132" s="22"/>
      <c r="M132" s="20"/>
      <c r="N132" s="19"/>
      <c r="O132" s="19"/>
      <c r="P132" s="22"/>
      <c r="Q132" s="43"/>
      <c r="R132" s="38"/>
      <c r="S132" s="38"/>
      <c r="T132" s="38"/>
      <c r="U132" s="19"/>
      <c r="V132" s="19"/>
      <c r="W132" s="19"/>
      <c r="X132" s="65"/>
      <c r="Y132" s="65"/>
      <c r="Z132" s="19"/>
    </row>
    <row r="133" spans="1:26" x14ac:dyDescent="0.2">
      <c r="A133" s="111"/>
      <c r="B133" s="111"/>
      <c r="C133" s="111"/>
      <c r="D133" s="22"/>
      <c r="E133" s="21"/>
      <c r="F133" s="21"/>
      <c r="G133" s="21"/>
      <c r="H133" s="111"/>
      <c r="I133" s="20"/>
      <c r="J133" s="20"/>
      <c r="K133" s="21"/>
      <c r="L133" s="22"/>
      <c r="M133" s="20"/>
      <c r="N133" s="19"/>
      <c r="O133" s="19"/>
      <c r="P133" s="22"/>
      <c r="Q133" s="43"/>
      <c r="R133" s="38"/>
      <c r="S133" s="38"/>
      <c r="T133" s="38"/>
      <c r="U133" s="19"/>
      <c r="V133" s="19"/>
      <c r="W133" s="19"/>
      <c r="X133" s="19"/>
      <c r="Y133" s="19"/>
      <c r="Z133" s="19"/>
    </row>
    <row r="134" spans="1:26" x14ac:dyDescent="0.2">
      <c r="A134" s="112"/>
      <c r="B134" s="112"/>
      <c r="C134" s="112"/>
      <c r="D134" s="22"/>
      <c r="E134" s="21"/>
      <c r="F134" s="21"/>
      <c r="G134" s="21"/>
      <c r="H134" s="112"/>
      <c r="I134" s="20"/>
      <c r="J134" s="20"/>
      <c r="K134" s="21"/>
      <c r="L134" s="22"/>
      <c r="M134" s="20"/>
      <c r="N134" s="19"/>
      <c r="O134" s="19"/>
      <c r="P134" s="22"/>
      <c r="Q134" s="43"/>
      <c r="R134" s="38"/>
      <c r="S134" s="38"/>
      <c r="T134" s="38"/>
      <c r="U134" s="19"/>
      <c r="V134" s="19"/>
      <c r="W134" s="19"/>
      <c r="X134" s="19"/>
      <c r="Y134" s="19"/>
      <c r="Z134" s="19"/>
    </row>
    <row r="135" spans="1:26" x14ac:dyDescent="0.2">
      <c r="A135" s="121"/>
      <c r="B135" s="121"/>
      <c r="C135" s="121"/>
      <c r="D135" s="22"/>
      <c r="E135" s="21"/>
      <c r="F135" s="21"/>
      <c r="G135" s="21"/>
      <c r="H135" s="121"/>
      <c r="I135" s="20"/>
      <c r="J135" s="20"/>
      <c r="K135" s="21"/>
      <c r="L135" s="22"/>
      <c r="M135" s="20"/>
      <c r="N135" s="19"/>
      <c r="O135" s="19"/>
      <c r="P135" s="22"/>
      <c r="Q135" s="43"/>
      <c r="R135" s="38"/>
      <c r="S135" s="38"/>
      <c r="T135" s="38"/>
      <c r="U135" s="19"/>
      <c r="V135" s="19"/>
      <c r="W135" s="19"/>
      <c r="X135" s="65"/>
      <c r="Y135" s="65"/>
      <c r="Z135" s="19"/>
    </row>
    <row r="136" spans="1:26" x14ac:dyDescent="0.2">
      <c r="A136" s="111"/>
      <c r="B136" s="111"/>
      <c r="C136" s="111"/>
      <c r="D136" s="22"/>
      <c r="E136" s="21"/>
      <c r="F136" s="21"/>
      <c r="G136" s="21"/>
      <c r="H136" s="111"/>
      <c r="I136" s="20"/>
      <c r="J136" s="20"/>
      <c r="K136" s="21"/>
      <c r="L136" s="22"/>
      <c r="M136" s="20"/>
      <c r="N136" s="19"/>
      <c r="O136" s="19"/>
      <c r="P136" s="22"/>
      <c r="Q136" s="43"/>
      <c r="R136" s="38"/>
      <c r="S136" s="38"/>
      <c r="T136" s="38"/>
      <c r="U136" s="19"/>
      <c r="V136" s="19"/>
      <c r="W136" s="19"/>
      <c r="X136" s="19"/>
      <c r="Y136" s="19"/>
      <c r="Z136" s="19"/>
    </row>
    <row r="137" spans="1:26" x14ac:dyDescent="0.2">
      <c r="A137" s="112"/>
      <c r="B137" s="112"/>
      <c r="C137" s="112"/>
      <c r="D137" s="22"/>
      <c r="E137" s="21"/>
      <c r="F137" s="21"/>
      <c r="G137" s="21"/>
      <c r="H137" s="112"/>
      <c r="I137" s="20"/>
      <c r="J137" s="20"/>
      <c r="K137" s="21"/>
      <c r="L137" s="22"/>
      <c r="M137" s="20"/>
      <c r="N137" s="19"/>
      <c r="O137" s="19"/>
      <c r="P137" s="22"/>
      <c r="Q137" s="43"/>
      <c r="R137" s="38"/>
      <c r="S137" s="38"/>
      <c r="T137" s="38"/>
      <c r="U137" s="19"/>
      <c r="V137" s="19"/>
      <c r="W137" s="19"/>
      <c r="X137" s="19"/>
      <c r="Y137" s="19"/>
      <c r="Z137" s="19"/>
    </row>
    <row r="138" spans="1:26" x14ac:dyDescent="0.2">
      <c r="A138" s="121"/>
      <c r="B138" s="121"/>
      <c r="C138" s="121"/>
      <c r="D138" s="22"/>
      <c r="E138" s="21"/>
      <c r="F138" s="21"/>
      <c r="G138" s="21"/>
      <c r="H138" s="121"/>
      <c r="I138" s="20"/>
      <c r="J138" s="20"/>
      <c r="K138" s="21"/>
      <c r="L138" s="22"/>
      <c r="M138" s="20"/>
      <c r="N138" s="19"/>
      <c r="O138" s="19"/>
      <c r="P138" s="22"/>
      <c r="Q138" s="43"/>
      <c r="R138" s="38"/>
      <c r="S138" s="38"/>
      <c r="T138" s="38"/>
      <c r="U138" s="19"/>
      <c r="V138" s="19"/>
      <c r="W138" s="19"/>
      <c r="X138" s="65"/>
      <c r="Y138" s="65"/>
      <c r="Z138" s="19"/>
    </row>
    <row r="139" spans="1:26" x14ac:dyDescent="0.2">
      <c r="A139" s="111"/>
      <c r="B139" s="111"/>
      <c r="C139" s="111"/>
      <c r="D139" s="22"/>
      <c r="E139" s="21"/>
      <c r="F139" s="21"/>
      <c r="G139" s="21"/>
      <c r="H139" s="111"/>
      <c r="I139" s="20"/>
      <c r="J139" s="20"/>
      <c r="K139" s="21"/>
      <c r="L139" s="22"/>
      <c r="M139" s="20"/>
      <c r="N139" s="19"/>
      <c r="O139" s="19"/>
      <c r="P139" s="22"/>
      <c r="Q139" s="43"/>
      <c r="R139" s="38"/>
      <c r="S139" s="38"/>
      <c r="T139" s="38"/>
      <c r="U139" s="19"/>
      <c r="V139" s="19"/>
      <c r="W139" s="19"/>
      <c r="X139" s="19"/>
      <c r="Y139" s="19"/>
      <c r="Z139" s="19"/>
    </row>
    <row r="140" spans="1:26" x14ac:dyDescent="0.2">
      <c r="A140" s="112"/>
      <c r="B140" s="112"/>
      <c r="C140" s="112"/>
      <c r="D140" s="22"/>
      <c r="E140" s="21"/>
      <c r="F140" s="21"/>
      <c r="G140" s="21"/>
      <c r="H140" s="112"/>
      <c r="I140" s="20"/>
      <c r="J140" s="20"/>
      <c r="K140" s="21"/>
      <c r="L140" s="22"/>
      <c r="M140" s="20"/>
      <c r="N140" s="19"/>
      <c r="O140" s="19"/>
      <c r="P140" s="22"/>
      <c r="Q140" s="43"/>
      <c r="R140" s="38"/>
      <c r="S140" s="38"/>
      <c r="T140" s="38"/>
      <c r="U140" s="19"/>
      <c r="V140" s="19"/>
      <c r="W140" s="19"/>
      <c r="X140" s="19"/>
      <c r="Y140" s="19"/>
      <c r="Z140" s="19"/>
    </row>
    <row r="141" spans="1:26" x14ac:dyDescent="0.2">
      <c r="A141" s="121"/>
      <c r="B141" s="121"/>
      <c r="C141" s="121"/>
      <c r="D141" s="22"/>
      <c r="E141" s="21"/>
      <c r="F141" s="21"/>
      <c r="G141" s="21"/>
      <c r="H141" s="121"/>
      <c r="I141" s="20"/>
      <c r="J141" s="20"/>
      <c r="K141" s="21"/>
      <c r="L141" s="22"/>
      <c r="M141" s="20"/>
      <c r="N141" s="19"/>
      <c r="O141" s="19"/>
      <c r="P141" s="22"/>
      <c r="Q141" s="43"/>
      <c r="R141" s="38"/>
      <c r="S141" s="38"/>
      <c r="T141" s="38"/>
      <c r="U141" s="19"/>
      <c r="V141" s="19"/>
      <c r="W141" s="19"/>
      <c r="X141" s="65"/>
      <c r="Y141" s="65"/>
      <c r="Z141" s="19"/>
    </row>
    <row r="142" spans="1:26" x14ac:dyDescent="0.2">
      <c r="A142" s="111"/>
      <c r="B142" s="111"/>
      <c r="C142" s="111"/>
      <c r="D142" s="22"/>
      <c r="E142" s="21"/>
      <c r="F142" s="21"/>
      <c r="G142" s="21"/>
      <c r="H142" s="111"/>
      <c r="I142" s="20"/>
      <c r="J142" s="20"/>
      <c r="K142" s="21"/>
      <c r="L142" s="22"/>
      <c r="M142" s="20"/>
      <c r="N142" s="19"/>
      <c r="O142" s="19"/>
      <c r="P142" s="22"/>
      <c r="Q142" s="43"/>
      <c r="R142" s="38"/>
      <c r="S142" s="38"/>
      <c r="T142" s="38"/>
      <c r="U142" s="19"/>
      <c r="V142" s="19"/>
      <c r="W142" s="19"/>
      <c r="X142" s="19"/>
      <c r="Y142" s="19"/>
      <c r="Z142" s="19"/>
    </row>
    <row r="143" spans="1:26" x14ac:dyDescent="0.2">
      <c r="A143" s="112"/>
      <c r="B143" s="112"/>
      <c r="C143" s="112"/>
      <c r="D143" s="22"/>
      <c r="E143" s="21"/>
      <c r="F143" s="21"/>
      <c r="G143" s="21"/>
      <c r="H143" s="112"/>
      <c r="I143" s="20"/>
      <c r="J143" s="20"/>
      <c r="K143" s="21"/>
      <c r="L143" s="22"/>
      <c r="M143" s="20"/>
      <c r="N143" s="19"/>
      <c r="O143" s="19"/>
      <c r="P143" s="22"/>
      <c r="Q143" s="43"/>
      <c r="R143" s="38"/>
      <c r="S143" s="38"/>
      <c r="T143" s="38"/>
      <c r="U143" s="19"/>
      <c r="V143" s="19"/>
      <c r="W143" s="19"/>
      <c r="X143" s="19"/>
      <c r="Y143" s="19"/>
      <c r="Z143" s="19"/>
    </row>
    <row r="144" spans="1:26" x14ac:dyDescent="0.2">
      <c r="A144" s="121"/>
      <c r="B144" s="121"/>
      <c r="C144" s="121"/>
      <c r="D144" s="22"/>
      <c r="E144" s="21"/>
      <c r="F144" s="21"/>
      <c r="G144" s="21"/>
      <c r="H144" s="121"/>
      <c r="I144" s="20"/>
      <c r="J144" s="20"/>
      <c r="K144" s="21"/>
      <c r="L144" s="22"/>
      <c r="M144" s="20"/>
      <c r="N144" s="19"/>
      <c r="O144" s="19"/>
      <c r="P144" s="22"/>
      <c r="Q144" s="43"/>
      <c r="R144" s="38"/>
      <c r="S144" s="38"/>
      <c r="T144" s="38"/>
      <c r="U144" s="19"/>
      <c r="V144" s="19"/>
      <c r="W144" s="19"/>
      <c r="X144" s="65"/>
      <c r="Y144" s="65"/>
      <c r="Z144" s="19"/>
    </row>
    <row r="145" spans="1:26" x14ac:dyDescent="0.2">
      <c r="A145" s="111"/>
      <c r="B145" s="111"/>
      <c r="C145" s="111"/>
      <c r="D145" s="22"/>
      <c r="E145" s="21"/>
      <c r="F145" s="21"/>
      <c r="G145" s="21"/>
      <c r="H145" s="111"/>
      <c r="I145" s="20"/>
      <c r="J145" s="20"/>
      <c r="K145" s="21"/>
      <c r="L145" s="22"/>
      <c r="M145" s="20"/>
      <c r="N145" s="19"/>
      <c r="O145" s="19"/>
      <c r="P145" s="22"/>
      <c r="Q145" s="43"/>
      <c r="R145" s="38"/>
      <c r="S145" s="38"/>
      <c r="T145" s="38"/>
      <c r="U145" s="19"/>
      <c r="V145" s="19"/>
      <c r="W145" s="19"/>
      <c r="X145" s="19"/>
      <c r="Y145" s="19"/>
      <c r="Z145" s="19"/>
    </row>
    <row r="146" spans="1:26" x14ac:dyDescent="0.2">
      <c r="A146" s="112"/>
      <c r="B146" s="112"/>
      <c r="C146" s="112"/>
      <c r="D146" s="22"/>
      <c r="E146" s="21"/>
      <c r="F146" s="21"/>
      <c r="G146" s="21"/>
      <c r="H146" s="112"/>
      <c r="I146" s="20"/>
      <c r="J146" s="20"/>
      <c r="K146" s="21"/>
      <c r="L146" s="22"/>
      <c r="M146" s="20"/>
      <c r="N146" s="19"/>
      <c r="O146" s="19"/>
      <c r="P146" s="22"/>
      <c r="Q146" s="43"/>
      <c r="R146" s="38"/>
      <c r="S146" s="38"/>
      <c r="T146" s="38"/>
      <c r="U146" s="19"/>
      <c r="V146" s="19"/>
      <c r="W146" s="19"/>
      <c r="X146" s="19"/>
      <c r="Y146" s="19"/>
      <c r="Z146" s="19"/>
    </row>
    <row r="147" spans="1:26" x14ac:dyDescent="0.2">
      <c r="A147" s="121"/>
      <c r="B147" s="121"/>
      <c r="C147" s="121"/>
      <c r="D147" s="22"/>
      <c r="E147" s="21"/>
      <c r="F147" s="21"/>
      <c r="G147" s="21"/>
      <c r="H147" s="121"/>
      <c r="I147" s="20"/>
      <c r="J147" s="20"/>
      <c r="K147" s="21"/>
      <c r="L147" s="22"/>
      <c r="M147" s="20"/>
      <c r="N147" s="19"/>
      <c r="O147" s="19"/>
      <c r="P147" s="22"/>
      <c r="Q147" s="43"/>
      <c r="R147" s="38"/>
      <c r="S147" s="38"/>
      <c r="T147" s="38"/>
      <c r="U147" s="19"/>
      <c r="V147" s="19"/>
      <c r="W147" s="19"/>
      <c r="X147" s="65"/>
      <c r="Y147" s="65"/>
      <c r="Z147" s="19"/>
    </row>
    <row r="148" spans="1:26" x14ac:dyDescent="0.2">
      <c r="A148" s="111"/>
      <c r="B148" s="111"/>
      <c r="C148" s="111"/>
      <c r="D148" s="22"/>
      <c r="E148" s="21"/>
      <c r="F148" s="21"/>
      <c r="G148" s="21"/>
      <c r="H148" s="111"/>
      <c r="I148" s="20"/>
      <c r="J148" s="20"/>
      <c r="K148" s="21"/>
      <c r="L148" s="22"/>
      <c r="M148" s="20"/>
      <c r="N148" s="19"/>
      <c r="O148" s="19"/>
      <c r="P148" s="22"/>
      <c r="Q148" s="43"/>
      <c r="R148" s="38"/>
      <c r="S148" s="38"/>
      <c r="T148" s="38"/>
      <c r="U148" s="19"/>
      <c r="V148" s="19"/>
      <c r="W148" s="19"/>
      <c r="X148" s="19"/>
      <c r="Y148" s="19"/>
      <c r="Z148" s="19"/>
    </row>
    <row r="149" spans="1:26" x14ac:dyDescent="0.2">
      <c r="A149" s="112"/>
      <c r="B149" s="112"/>
      <c r="C149" s="112"/>
      <c r="D149" s="22"/>
      <c r="E149" s="21"/>
      <c r="F149" s="21"/>
      <c r="G149" s="21"/>
      <c r="H149" s="112"/>
      <c r="I149" s="20"/>
      <c r="J149" s="20"/>
      <c r="K149" s="21"/>
      <c r="L149" s="22"/>
      <c r="M149" s="20"/>
      <c r="N149" s="19"/>
      <c r="O149" s="19"/>
      <c r="P149" s="22"/>
      <c r="Q149" s="43"/>
      <c r="R149" s="38"/>
      <c r="S149" s="38"/>
      <c r="T149" s="38"/>
      <c r="U149" s="19"/>
      <c r="V149" s="19"/>
      <c r="W149" s="19"/>
      <c r="X149" s="19"/>
      <c r="Y149" s="19"/>
      <c r="Z149" s="19"/>
    </row>
    <row r="150" spans="1:26" x14ac:dyDescent="0.2">
      <c r="A150" s="121"/>
      <c r="B150" s="121"/>
      <c r="C150" s="121"/>
      <c r="D150" s="22"/>
      <c r="E150" s="21"/>
      <c r="F150" s="21"/>
      <c r="G150" s="21"/>
      <c r="H150" s="121"/>
      <c r="I150" s="20"/>
      <c r="J150" s="20"/>
      <c r="K150" s="21"/>
      <c r="L150" s="22"/>
      <c r="M150" s="20"/>
      <c r="N150" s="19"/>
      <c r="O150" s="19"/>
      <c r="P150" s="22"/>
      <c r="Q150" s="43"/>
      <c r="R150" s="38"/>
      <c r="S150" s="38"/>
      <c r="T150" s="38"/>
      <c r="U150" s="19"/>
      <c r="V150" s="19"/>
      <c r="W150" s="19"/>
      <c r="X150" s="65"/>
      <c r="Y150" s="65"/>
      <c r="Z150" s="19"/>
    </row>
    <row r="151" spans="1:26" x14ac:dyDescent="0.2">
      <c r="A151" s="111"/>
      <c r="B151" s="111"/>
      <c r="C151" s="111"/>
      <c r="D151" s="22"/>
      <c r="E151" s="21"/>
      <c r="F151" s="21"/>
      <c r="G151" s="21"/>
      <c r="H151" s="111"/>
      <c r="I151" s="20"/>
      <c r="J151" s="20"/>
      <c r="K151" s="21"/>
      <c r="L151" s="22"/>
      <c r="M151" s="20"/>
      <c r="N151" s="19"/>
      <c r="O151" s="19"/>
      <c r="P151" s="22"/>
      <c r="Q151" s="43"/>
      <c r="R151" s="38"/>
      <c r="S151" s="38"/>
      <c r="T151" s="38"/>
      <c r="U151" s="19"/>
      <c r="V151" s="19"/>
      <c r="W151" s="19"/>
      <c r="X151" s="19"/>
      <c r="Y151" s="19"/>
      <c r="Z151" s="19"/>
    </row>
    <row r="152" spans="1:26" x14ac:dyDescent="0.2">
      <c r="A152" s="112"/>
      <c r="B152" s="112"/>
      <c r="C152" s="112"/>
      <c r="D152" s="22"/>
      <c r="E152" s="21"/>
      <c r="F152" s="21"/>
      <c r="G152" s="21"/>
      <c r="H152" s="112"/>
      <c r="I152" s="20"/>
      <c r="J152" s="20"/>
      <c r="K152" s="21"/>
      <c r="L152" s="22"/>
      <c r="M152" s="20"/>
      <c r="N152" s="19"/>
      <c r="O152" s="19"/>
      <c r="P152" s="22"/>
      <c r="Q152" s="43"/>
      <c r="R152" s="38"/>
      <c r="S152" s="38"/>
      <c r="T152" s="38"/>
      <c r="U152" s="19"/>
      <c r="V152" s="19"/>
      <c r="W152" s="19"/>
      <c r="X152" s="19"/>
      <c r="Y152" s="19"/>
      <c r="Z152" s="19"/>
    </row>
    <row r="153" spans="1:26" x14ac:dyDescent="0.2">
      <c r="A153" s="121"/>
      <c r="B153" s="121"/>
      <c r="C153" s="121"/>
      <c r="D153" s="22"/>
      <c r="E153" s="21"/>
      <c r="F153" s="21"/>
      <c r="G153" s="21"/>
      <c r="H153" s="121"/>
      <c r="I153" s="20"/>
      <c r="J153" s="20"/>
      <c r="K153" s="21"/>
      <c r="L153" s="22"/>
      <c r="M153" s="20"/>
      <c r="N153" s="19"/>
      <c r="O153" s="19"/>
      <c r="P153" s="22"/>
      <c r="Q153" s="43"/>
      <c r="R153" s="38"/>
      <c r="S153" s="38"/>
      <c r="T153" s="38"/>
      <c r="U153" s="19"/>
      <c r="V153" s="19"/>
      <c r="W153" s="19"/>
      <c r="X153" s="65"/>
      <c r="Y153" s="65"/>
      <c r="Z153" s="19"/>
    </row>
    <row r="154" spans="1:26" x14ac:dyDescent="0.2">
      <c r="A154" s="111"/>
      <c r="B154" s="111"/>
      <c r="C154" s="111"/>
      <c r="D154" s="22"/>
      <c r="E154" s="21"/>
      <c r="F154" s="21"/>
      <c r="G154" s="21"/>
      <c r="H154" s="111"/>
      <c r="I154" s="20"/>
      <c r="J154" s="20"/>
      <c r="K154" s="21"/>
      <c r="L154" s="22"/>
      <c r="M154" s="20"/>
      <c r="N154" s="19"/>
      <c r="O154" s="19"/>
      <c r="P154" s="22"/>
      <c r="Q154" s="43"/>
      <c r="R154" s="38"/>
      <c r="S154" s="38"/>
      <c r="T154" s="38"/>
      <c r="U154" s="19"/>
      <c r="V154" s="19"/>
      <c r="W154" s="19"/>
      <c r="X154" s="19"/>
      <c r="Y154" s="19"/>
      <c r="Z154" s="19"/>
    </row>
    <row r="155" spans="1:26" x14ac:dyDescent="0.2">
      <c r="A155" s="112"/>
      <c r="B155" s="112"/>
      <c r="C155" s="112"/>
      <c r="D155" s="22"/>
      <c r="E155" s="21"/>
      <c r="F155" s="21"/>
      <c r="G155" s="21"/>
      <c r="H155" s="112"/>
      <c r="I155" s="20"/>
      <c r="J155" s="20"/>
      <c r="K155" s="21"/>
      <c r="L155" s="22"/>
      <c r="M155" s="20"/>
      <c r="N155" s="19"/>
      <c r="O155" s="19"/>
      <c r="P155" s="22"/>
      <c r="Q155" s="43"/>
      <c r="R155" s="38"/>
      <c r="S155" s="38"/>
      <c r="T155" s="38"/>
      <c r="U155" s="19"/>
      <c r="V155" s="19"/>
      <c r="W155" s="19"/>
      <c r="X155" s="19"/>
      <c r="Y155" s="19"/>
      <c r="Z155" s="19"/>
    </row>
    <row r="156" spans="1:26" x14ac:dyDescent="0.2">
      <c r="A156" s="121"/>
      <c r="B156" s="121"/>
      <c r="C156" s="121"/>
      <c r="D156" s="22"/>
      <c r="E156" s="21"/>
      <c r="F156" s="21"/>
      <c r="G156" s="21"/>
      <c r="H156" s="121"/>
      <c r="I156" s="20"/>
      <c r="J156" s="20"/>
      <c r="K156" s="21"/>
      <c r="L156" s="22"/>
      <c r="M156" s="20"/>
      <c r="N156" s="19"/>
      <c r="O156" s="19"/>
      <c r="P156" s="22"/>
      <c r="Q156" s="43"/>
      <c r="R156" s="38"/>
      <c r="S156" s="38"/>
      <c r="T156" s="38"/>
      <c r="U156" s="19"/>
      <c r="V156" s="19"/>
      <c r="W156" s="19"/>
      <c r="X156" s="65"/>
      <c r="Y156" s="65"/>
      <c r="Z156" s="19"/>
    </row>
    <row r="157" spans="1:26" x14ac:dyDescent="0.2">
      <c r="A157" s="111"/>
      <c r="B157" s="111"/>
      <c r="C157" s="111"/>
      <c r="D157" s="22"/>
      <c r="E157" s="21"/>
      <c r="F157" s="21"/>
      <c r="G157" s="21"/>
      <c r="H157" s="111"/>
      <c r="I157" s="20"/>
      <c r="J157" s="20"/>
      <c r="K157" s="21"/>
      <c r="L157" s="22"/>
      <c r="M157" s="20"/>
      <c r="N157" s="19"/>
      <c r="O157" s="19"/>
      <c r="P157" s="22"/>
      <c r="Q157" s="43"/>
      <c r="R157" s="38"/>
      <c r="S157" s="38"/>
      <c r="T157" s="38"/>
      <c r="U157" s="19"/>
      <c r="V157" s="19"/>
      <c r="W157" s="19"/>
      <c r="X157" s="19"/>
      <c r="Y157" s="19"/>
      <c r="Z157" s="19"/>
    </row>
    <row r="158" spans="1:26" x14ac:dyDescent="0.2">
      <c r="A158" s="112"/>
      <c r="B158" s="112"/>
      <c r="C158" s="112"/>
      <c r="D158" s="22"/>
      <c r="E158" s="21"/>
      <c r="F158" s="21"/>
      <c r="G158" s="21"/>
      <c r="H158" s="112"/>
      <c r="I158" s="20"/>
      <c r="J158" s="20"/>
      <c r="K158" s="21"/>
      <c r="L158" s="22"/>
      <c r="M158" s="20"/>
      <c r="N158" s="19"/>
      <c r="O158" s="19"/>
      <c r="P158" s="22"/>
      <c r="Q158" s="43"/>
      <c r="R158" s="38"/>
      <c r="S158" s="38"/>
      <c r="T158" s="38"/>
      <c r="U158" s="19"/>
      <c r="V158" s="19"/>
      <c r="W158" s="19"/>
      <c r="X158" s="19"/>
      <c r="Y158" s="19"/>
      <c r="Z158" s="19"/>
    </row>
    <row r="159" spans="1:26" x14ac:dyDescent="0.2">
      <c r="A159" s="121"/>
      <c r="B159" s="121"/>
      <c r="C159" s="121"/>
      <c r="D159" s="22"/>
      <c r="E159" s="21"/>
      <c r="F159" s="21"/>
      <c r="G159" s="21"/>
      <c r="H159" s="121"/>
      <c r="I159" s="20"/>
      <c r="J159" s="20"/>
      <c r="K159" s="21"/>
      <c r="L159" s="22"/>
      <c r="M159" s="20"/>
      <c r="N159" s="19"/>
      <c r="O159" s="19"/>
      <c r="P159" s="22"/>
      <c r="Q159" s="43"/>
      <c r="R159" s="38"/>
      <c r="S159" s="38"/>
      <c r="T159" s="38"/>
      <c r="U159" s="19"/>
      <c r="V159" s="19"/>
      <c r="W159" s="19"/>
      <c r="X159" s="65"/>
      <c r="Y159" s="65"/>
      <c r="Z159" s="19"/>
    </row>
    <row r="160" spans="1:26" x14ac:dyDescent="0.2">
      <c r="A160" s="111"/>
      <c r="B160" s="111"/>
      <c r="C160" s="111"/>
      <c r="D160" s="22"/>
      <c r="E160" s="21"/>
      <c r="F160" s="21"/>
      <c r="G160" s="21"/>
      <c r="H160" s="111"/>
      <c r="I160" s="20"/>
      <c r="J160" s="20"/>
      <c r="K160" s="21"/>
      <c r="L160" s="22"/>
      <c r="M160" s="20"/>
      <c r="N160" s="19"/>
      <c r="O160" s="19"/>
      <c r="P160" s="22"/>
      <c r="Q160" s="43"/>
      <c r="R160" s="38"/>
      <c r="S160" s="38"/>
      <c r="T160" s="38"/>
      <c r="U160" s="19"/>
      <c r="V160" s="19"/>
      <c r="W160" s="19"/>
      <c r="X160" s="19"/>
      <c r="Y160" s="19"/>
      <c r="Z160" s="19"/>
    </row>
    <row r="161" spans="1:26" x14ac:dyDescent="0.2">
      <c r="A161" s="112"/>
      <c r="B161" s="112"/>
      <c r="C161" s="112"/>
      <c r="D161" s="22"/>
      <c r="E161" s="21"/>
      <c r="F161" s="21"/>
      <c r="G161" s="21"/>
      <c r="H161" s="112"/>
      <c r="I161" s="20"/>
      <c r="J161" s="20"/>
      <c r="K161" s="21"/>
      <c r="L161" s="22"/>
      <c r="M161" s="20"/>
      <c r="N161" s="19"/>
      <c r="O161" s="19"/>
      <c r="P161" s="22"/>
      <c r="Q161" s="43"/>
      <c r="R161" s="38"/>
      <c r="S161" s="38"/>
      <c r="T161" s="38"/>
      <c r="U161" s="19"/>
      <c r="V161" s="19"/>
      <c r="W161" s="19"/>
      <c r="X161" s="19"/>
      <c r="Y161" s="19"/>
      <c r="Z161" s="19"/>
    </row>
    <row r="162" spans="1:26" x14ac:dyDescent="0.2">
      <c r="A162" s="121"/>
      <c r="B162" s="121"/>
      <c r="C162" s="121"/>
      <c r="D162" s="22"/>
      <c r="E162" s="21"/>
      <c r="F162" s="21"/>
      <c r="G162" s="21"/>
      <c r="H162" s="121"/>
      <c r="I162" s="20"/>
      <c r="J162" s="20"/>
      <c r="K162" s="21"/>
      <c r="L162" s="22"/>
      <c r="M162" s="20"/>
      <c r="N162" s="19"/>
      <c r="O162" s="19"/>
      <c r="P162" s="22"/>
      <c r="Q162" s="43"/>
      <c r="R162" s="38"/>
      <c r="S162" s="38"/>
      <c r="T162" s="38"/>
      <c r="U162" s="19"/>
      <c r="V162" s="19"/>
      <c r="W162" s="19"/>
      <c r="X162" s="65"/>
      <c r="Y162" s="65"/>
      <c r="Z162" s="19"/>
    </row>
    <row r="163" spans="1:26" x14ac:dyDescent="0.2">
      <c r="A163" s="111"/>
      <c r="B163" s="111"/>
      <c r="C163" s="111"/>
      <c r="D163" s="22"/>
      <c r="E163" s="21"/>
      <c r="F163" s="21"/>
      <c r="G163" s="21"/>
      <c r="H163" s="111"/>
      <c r="I163" s="20"/>
      <c r="J163" s="20"/>
      <c r="K163" s="21"/>
      <c r="L163" s="22"/>
      <c r="M163" s="20"/>
      <c r="N163" s="19"/>
      <c r="O163" s="19"/>
      <c r="P163" s="22"/>
      <c r="Q163" s="43"/>
      <c r="R163" s="38"/>
      <c r="S163" s="38"/>
      <c r="T163" s="38"/>
      <c r="U163" s="19"/>
      <c r="V163" s="19"/>
      <c r="W163" s="19"/>
      <c r="X163" s="19"/>
      <c r="Y163" s="19"/>
      <c r="Z163" s="19"/>
    </row>
    <row r="164" spans="1:26" x14ac:dyDescent="0.2">
      <c r="A164" s="112"/>
      <c r="B164" s="112"/>
      <c r="C164" s="112"/>
      <c r="D164" s="22"/>
      <c r="E164" s="21"/>
      <c r="F164" s="21"/>
      <c r="G164" s="21"/>
      <c r="H164" s="112"/>
      <c r="I164" s="20"/>
      <c r="J164" s="20"/>
      <c r="K164" s="21"/>
      <c r="L164" s="22"/>
      <c r="M164" s="20"/>
      <c r="N164" s="19"/>
      <c r="O164" s="19"/>
      <c r="P164" s="22"/>
      <c r="Q164" s="43"/>
      <c r="R164" s="38"/>
      <c r="S164" s="38"/>
      <c r="T164" s="38"/>
      <c r="U164" s="19"/>
      <c r="V164" s="19"/>
      <c r="W164" s="19"/>
      <c r="X164" s="19"/>
      <c r="Y164" s="19"/>
      <c r="Z164" s="19"/>
    </row>
    <row r="165" spans="1:26" x14ac:dyDescent="0.2">
      <c r="A165" s="121"/>
      <c r="B165" s="121"/>
      <c r="C165" s="121"/>
      <c r="D165" s="22"/>
      <c r="E165" s="21"/>
      <c r="F165" s="21"/>
      <c r="G165" s="21"/>
      <c r="H165" s="121"/>
      <c r="I165" s="20"/>
      <c r="J165" s="20"/>
      <c r="K165" s="21"/>
      <c r="L165" s="22"/>
      <c r="M165" s="20"/>
      <c r="N165" s="19"/>
      <c r="O165" s="19"/>
      <c r="P165" s="22"/>
      <c r="Q165" s="43"/>
      <c r="R165" s="38"/>
      <c r="S165" s="38"/>
      <c r="T165" s="38"/>
      <c r="U165" s="19"/>
      <c r="V165" s="19"/>
      <c r="W165" s="19"/>
      <c r="X165" s="65"/>
      <c r="Y165" s="65"/>
      <c r="Z165" s="19"/>
    </row>
    <row r="166" spans="1:26" x14ac:dyDescent="0.2">
      <c r="A166" s="111"/>
      <c r="B166" s="111"/>
      <c r="C166" s="111"/>
      <c r="D166" s="22"/>
      <c r="E166" s="21"/>
      <c r="F166" s="21"/>
      <c r="G166" s="21"/>
      <c r="H166" s="111"/>
      <c r="I166" s="20"/>
      <c r="J166" s="20"/>
      <c r="K166" s="21"/>
      <c r="L166" s="22"/>
      <c r="M166" s="20"/>
      <c r="N166" s="19"/>
      <c r="O166" s="19"/>
      <c r="P166" s="22"/>
      <c r="Q166" s="43"/>
      <c r="R166" s="38"/>
      <c r="S166" s="38"/>
      <c r="T166" s="38"/>
      <c r="U166" s="19"/>
      <c r="V166" s="19"/>
      <c r="W166" s="19"/>
      <c r="X166" s="19"/>
      <c r="Y166" s="19"/>
      <c r="Z166" s="19"/>
    </row>
    <row r="167" spans="1:26" x14ac:dyDescent="0.2">
      <c r="A167" s="112"/>
      <c r="B167" s="112"/>
      <c r="C167" s="112"/>
      <c r="D167" s="22"/>
      <c r="E167" s="21"/>
      <c r="F167" s="21"/>
      <c r="G167" s="21"/>
      <c r="H167" s="112"/>
      <c r="I167" s="20"/>
      <c r="J167" s="20"/>
      <c r="K167" s="21"/>
      <c r="L167" s="22"/>
      <c r="M167" s="20"/>
      <c r="N167" s="19"/>
      <c r="O167" s="19"/>
      <c r="P167" s="22"/>
      <c r="Q167" s="43"/>
      <c r="R167" s="38"/>
      <c r="S167" s="38"/>
      <c r="T167" s="38"/>
      <c r="U167" s="19"/>
      <c r="V167" s="19"/>
      <c r="W167" s="19"/>
      <c r="X167" s="19"/>
      <c r="Y167" s="19"/>
      <c r="Z167" s="19"/>
    </row>
    <row r="168" spans="1:26" x14ac:dyDescent="0.2">
      <c r="A168" s="121"/>
      <c r="B168" s="121"/>
      <c r="C168" s="121"/>
      <c r="D168" s="22"/>
      <c r="E168" s="21"/>
      <c r="F168" s="21"/>
      <c r="G168" s="21"/>
      <c r="H168" s="121"/>
      <c r="I168" s="20"/>
      <c r="J168" s="20"/>
      <c r="K168" s="21"/>
      <c r="L168" s="22"/>
      <c r="M168" s="20"/>
      <c r="N168" s="19"/>
      <c r="O168" s="19"/>
      <c r="P168" s="22"/>
      <c r="Q168" s="43"/>
      <c r="R168" s="38"/>
      <c r="S168" s="38"/>
      <c r="T168" s="38"/>
      <c r="U168" s="19"/>
      <c r="V168" s="19"/>
      <c r="W168" s="19"/>
      <c r="X168" s="65"/>
      <c r="Y168" s="65"/>
      <c r="Z168" s="19"/>
    </row>
    <row r="169" spans="1:26" x14ac:dyDescent="0.2">
      <c r="A169" s="111"/>
      <c r="B169" s="111"/>
      <c r="C169" s="111"/>
      <c r="D169" s="22"/>
      <c r="E169" s="21"/>
      <c r="F169" s="21"/>
      <c r="G169" s="21"/>
      <c r="H169" s="111"/>
      <c r="I169" s="20"/>
      <c r="J169" s="20"/>
      <c r="K169" s="21"/>
      <c r="L169" s="22"/>
      <c r="M169" s="20"/>
      <c r="N169" s="19"/>
      <c r="O169" s="19"/>
      <c r="P169" s="22"/>
      <c r="Q169" s="43"/>
      <c r="R169" s="38"/>
      <c r="S169" s="38"/>
      <c r="T169" s="38"/>
      <c r="U169" s="19"/>
      <c r="V169" s="19"/>
      <c r="W169" s="19"/>
      <c r="X169" s="19"/>
      <c r="Y169" s="19"/>
      <c r="Z169" s="19"/>
    </row>
    <row r="170" spans="1:26" x14ac:dyDescent="0.2">
      <c r="A170" s="112"/>
      <c r="B170" s="112"/>
      <c r="C170" s="112"/>
      <c r="D170" s="22"/>
      <c r="E170" s="21"/>
      <c r="F170" s="21"/>
      <c r="G170" s="21"/>
      <c r="H170" s="112"/>
      <c r="I170" s="20"/>
      <c r="J170" s="20"/>
      <c r="K170" s="21"/>
      <c r="L170" s="22"/>
      <c r="M170" s="20"/>
      <c r="N170" s="19"/>
      <c r="O170" s="19"/>
      <c r="P170" s="22"/>
      <c r="Q170" s="43"/>
      <c r="R170" s="38"/>
      <c r="S170" s="38"/>
      <c r="T170" s="38"/>
      <c r="U170" s="19"/>
      <c r="V170" s="19"/>
      <c r="W170" s="19"/>
      <c r="X170" s="19"/>
      <c r="Y170" s="19"/>
      <c r="Z170" s="19"/>
    </row>
    <row r="171" spans="1:26" x14ac:dyDescent="0.2">
      <c r="A171" s="121"/>
      <c r="B171" s="121"/>
      <c r="C171" s="121"/>
      <c r="D171" s="22"/>
      <c r="E171" s="21"/>
      <c r="F171" s="21"/>
      <c r="G171" s="21"/>
      <c r="H171" s="121"/>
      <c r="I171" s="20"/>
      <c r="J171" s="20"/>
      <c r="K171" s="21"/>
      <c r="L171" s="22"/>
      <c r="M171" s="20"/>
      <c r="N171" s="19"/>
      <c r="O171" s="19"/>
      <c r="P171" s="22"/>
      <c r="Q171" s="43"/>
      <c r="R171" s="38"/>
      <c r="S171" s="38"/>
      <c r="T171" s="38"/>
      <c r="U171" s="19"/>
      <c r="V171" s="19"/>
      <c r="W171" s="19"/>
      <c r="X171" s="65"/>
      <c r="Y171" s="65"/>
      <c r="Z171" s="19"/>
    </row>
    <row r="172" spans="1:26" x14ac:dyDescent="0.2">
      <c r="A172" s="111"/>
      <c r="B172" s="111"/>
      <c r="C172" s="111"/>
      <c r="D172" s="22"/>
      <c r="E172" s="21"/>
      <c r="F172" s="21"/>
      <c r="G172" s="21"/>
      <c r="H172" s="111"/>
      <c r="I172" s="20"/>
      <c r="J172" s="20"/>
      <c r="K172" s="21"/>
      <c r="L172" s="22"/>
      <c r="M172" s="20"/>
      <c r="N172" s="19"/>
      <c r="O172" s="19"/>
      <c r="P172" s="22"/>
      <c r="Q172" s="43"/>
      <c r="R172" s="38"/>
      <c r="S172" s="38"/>
      <c r="T172" s="38"/>
      <c r="U172" s="19"/>
      <c r="V172" s="19"/>
      <c r="W172" s="19"/>
      <c r="X172" s="19"/>
      <c r="Y172" s="19"/>
      <c r="Z172" s="19"/>
    </row>
    <row r="173" spans="1:26" x14ac:dyDescent="0.2">
      <c r="A173" s="112"/>
      <c r="B173" s="112"/>
      <c r="C173" s="112"/>
      <c r="D173" s="22"/>
      <c r="E173" s="21"/>
      <c r="F173" s="21"/>
      <c r="G173" s="21"/>
      <c r="H173" s="112"/>
      <c r="I173" s="20"/>
      <c r="J173" s="20"/>
      <c r="K173" s="21"/>
      <c r="L173" s="22"/>
      <c r="M173" s="20"/>
      <c r="N173" s="19"/>
      <c r="O173" s="19"/>
      <c r="P173" s="22"/>
      <c r="Q173" s="43"/>
      <c r="R173" s="38"/>
      <c r="S173" s="38"/>
      <c r="T173" s="38"/>
      <c r="U173" s="19"/>
      <c r="V173" s="19"/>
      <c r="W173" s="19"/>
      <c r="X173" s="19"/>
      <c r="Y173" s="19"/>
      <c r="Z173" s="19"/>
    </row>
    <row r="174" spans="1:26" x14ac:dyDescent="0.2">
      <c r="A174" s="121"/>
      <c r="B174" s="121"/>
      <c r="C174" s="121"/>
      <c r="D174" s="22"/>
      <c r="E174" s="21"/>
      <c r="F174" s="21"/>
      <c r="G174" s="21"/>
      <c r="H174" s="121"/>
      <c r="I174" s="20"/>
      <c r="J174" s="20"/>
      <c r="K174" s="21"/>
      <c r="L174" s="22"/>
      <c r="M174" s="20"/>
      <c r="N174" s="19"/>
      <c r="O174" s="19"/>
      <c r="P174" s="22"/>
      <c r="Q174" s="43"/>
      <c r="R174" s="38"/>
      <c r="S174" s="38"/>
      <c r="T174" s="38"/>
      <c r="U174" s="19"/>
      <c r="V174" s="19"/>
      <c r="W174" s="19"/>
      <c r="X174" s="65"/>
      <c r="Y174" s="65"/>
      <c r="Z174" s="19"/>
    </row>
    <row r="175" spans="1:26" x14ac:dyDescent="0.2">
      <c r="A175" s="111"/>
      <c r="B175" s="111"/>
      <c r="C175" s="111"/>
      <c r="D175" s="22"/>
      <c r="E175" s="21"/>
      <c r="F175" s="21"/>
      <c r="G175" s="21"/>
      <c r="H175" s="111"/>
      <c r="I175" s="20"/>
      <c r="J175" s="20"/>
      <c r="K175" s="21"/>
      <c r="L175" s="22"/>
      <c r="M175" s="20"/>
      <c r="N175" s="19"/>
      <c r="O175" s="19"/>
      <c r="P175" s="22"/>
      <c r="Q175" s="43"/>
      <c r="R175" s="38"/>
      <c r="S175" s="38"/>
      <c r="T175" s="38"/>
      <c r="U175" s="19"/>
      <c r="V175" s="19"/>
      <c r="W175" s="19"/>
      <c r="X175" s="19"/>
      <c r="Y175" s="19"/>
      <c r="Z175" s="19"/>
    </row>
    <row r="176" spans="1:26" x14ac:dyDescent="0.2">
      <c r="A176" s="112"/>
      <c r="B176" s="112"/>
      <c r="C176" s="112"/>
      <c r="D176" s="22"/>
      <c r="E176" s="21"/>
      <c r="F176" s="21"/>
      <c r="G176" s="21"/>
      <c r="H176" s="112"/>
      <c r="I176" s="20"/>
      <c r="J176" s="20"/>
      <c r="K176" s="21"/>
      <c r="L176" s="22"/>
      <c r="M176" s="20"/>
      <c r="N176" s="19"/>
      <c r="O176" s="19"/>
      <c r="P176" s="22"/>
      <c r="Q176" s="43"/>
      <c r="R176" s="38"/>
      <c r="S176" s="38"/>
      <c r="T176" s="38"/>
      <c r="U176" s="19"/>
      <c r="V176" s="19"/>
      <c r="W176" s="19"/>
      <c r="X176" s="19"/>
      <c r="Y176" s="19"/>
      <c r="Z176" s="19"/>
    </row>
    <row r="177" spans="1:26" x14ac:dyDescent="0.2">
      <c r="A177" s="121"/>
      <c r="B177" s="121"/>
      <c r="C177" s="121"/>
      <c r="D177" s="22"/>
      <c r="E177" s="21"/>
      <c r="F177" s="21"/>
      <c r="G177" s="21"/>
      <c r="H177" s="121"/>
      <c r="I177" s="20"/>
      <c r="J177" s="20"/>
      <c r="K177" s="21"/>
      <c r="L177" s="22"/>
      <c r="M177" s="20"/>
      <c r="N177" s="19"/>
      <c r="O177" s="19"/>
      <c r="P177" s="22"/>
      <c r="Q177" s="43"/>
      <c r="R177" s="38"/>
      <c r="S177" s="38"/>
      <c r="T177" s="38"/>
      <c r="U177" s="19"/>
      <c r="V177" s="19"/>
      <c r="W177" s="19"/>
      <c r="X177" s="65"/>
      <c r="Y177" s="65"/>
      <c r="Z177" s="19"/>
    </row>
    <row r="178" spans="1:26" x14ac:dyDescent="0.2">
      <c r="A178" s="111"/>
      <c r="B178" s="111"/>
      <c r="C178" s="111"/>
      <c r="D178" s="22"/>
      <c r="E178" s="21"/>
      <c r="F178" s="21"/>
      <c r="G178" s="21"/>
      <c r="H178" s="111"/>
      <c r="I178" s="20"/>
      <c r="J178" s="20"/>
      <c r="K178" s="21"/>
      <c r="L178" s="22"/>
      <c r="M178" s="20"/>
      <c r="N178" s="19"/>
      <c r="O178" s="19"/>
      <c r="P178" s="22"/>
      <c r="Q178" s="43"/>
      <c r="R178" s="38"/>
      <c r="S178" s="38"/>
      <c r="T178" s="38"/>
      <c r="U178" s="19"/>
      <c r="V178" s="19"/>
      <c r="W178" s="19"/>
      <c r="X178" s="19"/>
      <c r="Y178" s="19"/>
      <c r="Z178" s="19"/>
    </row>
    <row r="179" spans="1:26" x14ac:dyDescent="0.2">
      <c r="A179" s="112"/>
      <c r="B179" s="112"/>
      <c r="C179" s="112"/>
      <c r="D179" s="22"/>
      <c r="E179" s="21"/>
      <c r="F179" s="21"/>
      <c r="G179" s="21"/>
      <c r="H179" s="112"/>
      <c r="I179" s="20"/>
      <c r="J179" s="20"/>
      <c r="K179" s="21"/>
      <c r="L179" s="22"/>
      <c r="M179" s="20"/>
      <c r="N179" s="19"/>
      <c r="O179" s="19"/>
      <c r="P179" s="22"/>
      <c r="Q179" s="43"/>
      <c r="R179" s="38"/>
      <c r="S179" s="38"/>
      <c r="T179" s="38"/>
      <c r="U179" s="19"/>
      <c r="V179" s="19"/>
      <c r="W179" s="19"/>
      <c r="X179" s="19"/>
      <c r="Y179" s="19"/>
      <c r="Z179" s="19"/>
    </row>
    <row r="180" spans="1:26" x14ac:dyDescent="0.2">
      <c r="A180" s="121"/>
      <c r="B180" s="121"/>
      <c r="C180" s="121"/>
      <c r="D180" s="22"/>
      <c r="E180" s="21"/>
      <c r="F180" s="21"/>
      <c r="G180" s="21"/>
      <c r="H180" s="121"/>
      <c r="I180" s="20"/>
      <c r="J180" s="20"/>
      <c r="K180" s="21"/>
      <c r="L180" s="22"/>
      <c r="M180" s="20"/>
      <c r="N180" s="19"/>
      <c r="O180" s="19"/>
      <c r="P180" s="22"/>
      <c r="Q180" s="43"/>
      <c r="R180" s="38"/>
      <c r="S180" s="38"/>
      <c r="T180" s="38"/>
      <c r="U180" s="19"/>
      <c r="V180" s="19"/>
      <c r="W180" s="19"/>
      <c r="X180" s="65"/>
      <c r="Y180" s="65"/>
      <c r="Z180" s="19"/>
    </row>
    <row r="181" spans="1:26" x14ac:dyDescent="0.2">
      <c r="A181" s="111"/>
      <c r="B181" s="111"/>
      <c r="C181" s="111"/>
      <c r="D181" s="22"/>
      <c r="E181" s="21"/>
      <c r="F181" s="21"/>
      <c r="G181" s="21"/>
      <c r="H181" s="111"/>
      <c r="I181" s="20"/>
      <c r="J181" s="20"/>
      <c r="K181" s="21"/>
      <c r="L181" s="22"/>
      <c r="M181" s="20"/>
      <c r="N181" s="19"/>
      <c r="O181" s="19"/>
      <c r="P181" s="22"/>
      <c r="Q181" s="43"/>
      <c r="R181" s="38"/>
      <c r="S181" s="38"/>
      <c r="T181" s="38"/>
      <c r="U181" s="19"/>
      <c r="V181" s="19"/>
      <c r="W181" s="19"/>
      <c r="X181" s="19"/>
      <c r="Y181" s="19"/>
      <c r="Z181" s="19"/>
    </row>
    <row r="182" spans="1:26" x14ac:dyDescent="0.2">
      <c r="A182" s="112"/>
      <c r="B182" s="112"/>
      <c r="C182" s="112"/>
      <c r="D182" s="22"/>
      <c r="E182" s="21"/>
      <c r="F182" s="21"/>
      <c r="G182" s="21"/>
      <c r="H182" s="112"/>
      <c r="I182" s="20"/>
      <c r="J182" s="20"/>
      <c r="K182" s="21"/>
      <c r="L182" s="22"/>
      <c r="M182" s="20"/>
      <c r="N182" s="19"/>
      <c r="O182" s="19"/>
      <c r="P182" s="22"/>
      <c r="Q182" s="43"/>
      <c r="R182" s="38"/>
      <c r="S182" s="38"/>
      <c r="T182" s="38"/>
      <c r="U182" s="19"/>
      <c r="V182" s="19"/>
      <c r="W182" s="19"/>
      <c r="X182" s="19"/>
      <c r="Y182" s="19"/>
      <c r="Z182" s="19"/>
    </row>
    <row r="183" spans="1:26" x14ac:dyDescent="0.2">
      <c r="A183" s="121"/>
      <c r="B183" s="121"/>
      <c r="C183" s="121"/>
      <c r="D183" s="22"/>
      <c r="E183" s="21"/>
      <c r="F183" s="21"/>
      <c r="G183" s="21"/>
      <c r="H183" s="121"/>
      <c r="I183" s="20"/>
      <c r="J183" s="20"/>
      <c r="K183" s="21"/>
      <c r="L183" s="22"/>
      <c r="M183" s="20"/>
      <c r="N183" s="19"/>
      <c r="O183" s="19"/>
      <c r="P183" s="22"/>
      <c r="Q183" s="43"/>
      <c r="R183" s="38"/>
      <c r="S183" s="38"/>
      <c r="T183" s="38"/>
      <c r="U183" s="19"/>
      <c r="V183" s="19"/>
      <c r="W183" s="19"/>
      <c r="X183" s="65"/>
      <c r="Y183" s="65"/>
      <c r="Z183" s="19"/>
    </row>
    <row r="184" spans="1:26" x14ac:dyDescent="0.2">
      <c r="A184" s="111"/>
      <c r="B184" s="111"/>
      <c r="C184" s="111"/>
      <c r="D184" s="22"/>
      <c r="E184" s="21"/>
      <c r="F184" s="21"/>
      <c r="G184" s="21"/>
      <c r="H184" s="111"/>
      <c r="I184" s="20"/>
      <c r="J184" s="20"/>
      <c r="K184" s="21"/>
      <c r="L184" s="22"/>
      <c r="M184" s="20"/>
      <c r="N184" s="19"/>
      <c r="O184" s="19"/>
      <c r="P184" s="22"/>
      <c r="Q184" s="43"/>
      <c r="R184" s="38"/>
      <c r="S184" s="38"/>
      <c r="T184" s="38"/>
      <c r="U184" s="19"/>
      <c r="V184" s="19"/>
      <c r="W184" s="19"/>
      <c r="X184" s="19"/>
      <c r="Y184" s="19"/>
      <c r="Z184" s="19"/>
    </row>
    <row r="185" spans="1:26" x14ac:dyDescent="0.2">
      <c r="A185" s="112"/>
      <c r="B185" s="112"/>
      <c r="C185" s="112"/>
      <c r="D185" s="22"/>
      <c r="E185" s="21"/>
      <c r="F185" s="21"/>
      <c r="G185" s="21"/>
      <c r="H185" s="112"/>
      <c r="I185" s="20"/>
      <c r="J185" s="20"/>
      <c r="K185" s="21"/>
      <c r="L185" s="22"/>
      <c r="M185" s="20"/>
      <c r="N185" s="19"/>
      <c r="O185" s="19"/>
      <c r="P185" s="22"/>
      <c r="Q185" s="43"/>
      <c r="R185" s="38"/>
      <c r="S185" s="38"/>
      <c r="T185" s="38"/>
      <c r="U185" s="19"/>
      <c r="V185" s="19"/>
      <c r="W185" s="19"/>
      <c r="X185" s="19"/>
      <c r="Y185" s="19"/>
      <c r="Z185" s="19"/>
    </row>
    <row r="186" spans="1:26" x14ac:dyDescent="0.2">
      <c r="A186" s="121"/>
      <c r="B186" s="121"/>
      <c r="C186" s="121"/>
      <c r="D186" s="22"/>
      <c r="E186" s="21"/>
      <c r="F186" s="21"/>
      <c r="G186" s="21"/>
      <c r="H186" s="121"/>
      <c r="I186" s="20"/>
      <c r="J186" s="20"/>
      <c r="K186" s="21"/>
      <c r="L186" s="22"/>
      <c r="M186" s="20"/>
      <c r="N186" s="19"/>
      <c r="O186" s="19"/>
      <c r="P186" s="22"/>
      <c r="Q186" s="43"/>
      <c r="R186" s="38"/>
      <c r="S186" s="38"/>
      <c r="T186" s="38"/>
      <c r="U186" s="19"/>
      <c r="V186" s="19"/>
      <c r="W186" s="19"/>
      <c r="X186" s="65"/>
      <c r="Y186" s="65"/>
      <c r="Z186" s="19"/>
    </row>
    <row r="187" spans="1:26" x14ac:dyDescent="0.2">
      <c r="A187" s="111"/>
      <c r="B187" s="111"/>
      <c r="C187" s="111"/>
      <c r="D187" s="22"/>
      <c r="E187" s="21"/>
      <c r="F187" s="21"/>
      <c r="G187" s="21"/>
      <c r="H187" s="111"/>
      <c r="I187" s="20"/>
      <c r="J187" s="20"/>
      <c r="K187" s="21"/>
      <c r="L187" s="22"/>
      <c r="M187" s="20"/>
      <c r="N187" s="19"/>
      <c r="O187" s="19"/>
      <c r="P187" s="22"/>
      <c r="Q187" s="43"/>
      <c r="R187" s="38"/>
      <c r="S187" s="38"/>
      <c r="T187" s="38"/>
      <c r="U187" s="19"/>
      <c r="V187" s="19"/>
      <c r="W187" s="19"/>
      <c r="X187" s="19"/>
      <c r="Y187" s="19"/>
      <c r="Z187" s="19"/>
    </row>
    <row r="188" spans="1:26" x14ac:dyDescent="0.2">
      <c r="A188" s="112"/>
      <c r="B188" s="112"/>
      <c r="C188" s="112"/>
      <c r="D188" s="22"/>
      <c r="E188" s="21"/>
      <c r="F188" s="21"/>
      <c r="G188" s="21"/>
      <c r="H188" s="112"/>
      <c r="I188" s="20"/>
      <c r="J188" s="20"/>
      <c r="K188" s="21"/>
      <c r="L188" s="22"/>
      <c r="M188" s="20"/>
      <c r="N188" s="19"/>
      <c r="O188" s="19"/>
      <c r="P188" s="22"/>
      <c r="Q188" s="43"/>
      <c r="R188" s="38"/>
      <c r="S188" s="38"/>
      <c r="T188" s="38"/>
      <c r="U188" s="19"/>
      <c r="V188" s="19"/>
      <c r="W188" s="19"/>
      <c r="X188" s="19"/>
      <c r="Y188" s="19"/>
      <c r="Z188" s="19"/>
    </row>
    <row r="189" spans="1:26" x14ac:dyDescent="0.2">
      <c r="A189" s="121"/>
      <c r="B189" s="121"/>
      <c r="C189" s="121"/>
      <c r="D189" s="22"/>
      <c r="E189" s="21"/>
      <c r="F189" s="21"/>
      <c r="G189" s="21"/>
      <c r="H189" s="121"/>
      <c r="I189" s="20"/>
      <c r="J189" s="20"/>
      <c r="K189" s="21"/>
      <c r="L189" s="22"/>
      <c r="M189" s="20"/>
      <c r="N189" s="19"/>
      <c r="O189" s="19"/>
      <c r="P189" s="22"/>
      <c r="Q189" s="43"/>
      <c r="R189" s="38"/>
      <c r="S189" s="38"/>
      <c r="T189" s="38"/>
      <c r="U189" s="19"/>
      <c r="V189" s="19"/>
      <c r="W189" s="19"/>
      <c r="X189" s="65"/>
      <c r="Y189" s="65"/>
      <c r="Z189" s="19"/>
    </row>
    <row r="190" spans="1:26" x14ac:dyDescent="0.2">
      <c r="A190" s="111"/>
      <c r="B190" s="111"/>
      <c r="C190" s="111"/>
      <c r="D190" s="22"/>
      <c r="E190" s="21"/>
      <c r="F190" s="21"/>
      <c r="G190" s="21"/>
      <c r="H190" s="111"/>
      <c r="I190" s="20"/>
      <c r="J190" s="20"/>
      <c r="K190" s="21"/>
      <c r="L190" s="22"/>
      <c r="M190" s="20"/>
      <c r="N190" s="19"/>
      <c r="O190" s="19"/>
      <c r="P190" s="22"/>
      <c r="Q190" s="43"/>
      <c r="R190" s="38"/>
      <c r="S190" s="38"/>
      <c r="T190" s="38"/>
      <c r="U190" s="19"/>
      <c r="V190" s="19"/>
      <c r="W190" s="19"/>
      <c r="X190" s="19"/>
      <c r="Y190" s="19"/>
      <c r="Z190" s="19"/>
    </row>
    <row r="191" spans="1:26" x14ac:dyDescent="0.2">
      <c r="A191" s="112"/>
      <c r="B191" s="112"/>
      <c r="C191" s="112"/>
      <c r="D191" s="22"/>
      <c r="E191" s="21"/>
      <c r="F191" s="21"/>
      <c r="G191" s="21"/>
      <c r="H191" s="112"/>
      <c r="I191" s="20"/>
      <c r="J191" s="20"/>
      <c r="K191" s="21"/>
      <c r="L191" s="22"/>
      <c r="M191" s="20"/>
      <c r="N191" s="19"/>
      <c r="O191" s="19"/>
      <c r="P191" s="22"/>
      <c r="Q191" s="43"/>
      <c r="R191" s="38"/>
      <c r="S191" s="38"/>
      <c r="T191" s="38"/>
      <c r="U191" s="19"/>
      <c r="V191" s="19"/>
      <c r="W191" s="19"/>
      <c r="X191" s="19"/>
      <c r="Y191" s="19"/>
      <c r="Z191" s="19"/>
    </row>
    <row r="192" spans="1:26" x14ac:dyDescent="0.2">
      <c r="A192" s="121"/>
      <c r="B192" s="121"/>
      <c r="C192" s="121"/>
      <c r="D192" s="22"/>
      <c r="E192" s="21"/>
      <c r="F192" s="21"/>
      <c r="G192" s="21"/>
      <c r="H192" s="121"/>
      <c r="I192" s="20"/>
      <c r="J192" s="20"/>
      <c r="K192" s="21"/>
      <c r="L192" s="22"/>
      <c r="M192" s="20"/>
      <c r="N192" s="19"/>
      <c r="O192" s="19"/>
      <c r="P192" s="22"/>
      <c r="Q192" s="43"/>
      <c r="R192" s="38"/>
      <c r="S192" s="38"/>
      <c r="T192" s="38"/>
      <c r="U192" s="19"/>
      <c r="V192" s="19"/>
      <c r="W192" s="19"/>
      <c r="X192" s="65"/>
      <c r="Y192" s="65"/>
      <c r="Z192" s="19"/>
    </row>
    <row r="193" spans="1:26" x14ac:dyDescent="0.2">
      <c r="A193" s="111"/>
      <c r="B193" s="111"/>
      <c r="C193" s="111"/>
      <c r="D193" s="22"/>
      <c r="E193" s="21"/>
      <c r="F193" s="21"/>
      <c r="G193" s="21"/>
      <c r="H193" s="111"/>
      <c r="I193" s="20"/>
      <c r="J193" s="20"/>
      <c r="K193" s="21"/>
      <c r="L193" s="22"/>
      <c r="M193" s="20"/>
      <c r="N193" s="19"/>
      <c r="O193" s="19"/>
      <c r="P193" s="22"/>
      <c r="Q193" s="43"/>
      <c r="R193" s="38"/>
      <c r="S193" s="38"/>
      <c r="T193" s="38"/>
      <c r="U193" s="19"/>
      <c r="V193" s="19"/>
      <c r="W193" s="19"/>
      <c r="X193" s="19"/>
      <c r="Y193" s="19"/>
      <c r="Z193" s="19"/>
    </row>
    <row r="194" spans="1:26" x14ac:dyDescent="0.2">
      <c r="A194" s="112"/>
      <c r="B194" s="112"/>
      <c r="C194" s="112"/>
      <c r="D194" s="22"/>
      <c r="E194" s="21"/>
      <c r="F194" s="21"/>
      <c r="G194" s="21"/>
      <c r="H194" s="112"/>
      <c r="I194" s="20"/>
      <c r="J194" s="20"/>
      <c r="K194" s="21"/>
      <c r="L194" s="22"/>
      <c r="M194" s="20"/>
      <c r="N194" s="19"/>
      <c r="O194" s="19"/>
      <c r="P194" s="22"/>
      <c r="Q194" s="43"/>
      <c r="R194" s="38"/>
      <c r="S194" s="38"/>
      <c r="T194" s="38"/>
      <c r="U194" s="19"/>
      <c r="V194" s="19"/>
      <c r="W194" s="19"/>
      <c r="X194" s="19"/>
      <c r="Y194" s="19"/>
      <c r="Z194" s="19"/>
    </row>
    <row r="195" spans="1:26" x14ac:dyDescent="0.2">
      <c r="A195" s="121"/>
      <c r="B195" s="121"/>
      <c r="C195" s="121"/>
      <c r="D195" s="22"/>
      <c r="E195" s="21"/>
      <c r="F195" s="21"/>
      <c r="G195" s="21"/>
      <c r="H195" s="121"/>
      <c r="I195" s="20"/>
      <c r="J195" s="20"/>
      <c r="K195" s="21"/>
      <c r="L195" s="22"/>
      <c r="M195" s="20"/>
      <c r="N195" s="19"/>
      <c r="O195" s="19"/>
      <c r="P195" s="22"/>
      <c r="Q195" s="43"/>
      <c r="R195" s="38"/>
      <c r="S195" s="38"/>
      <c r="T195" s="38"/>
      <c r="U195" s="19"/>
      <c r="V195" s="19"/>
      <c r="W195" s="19"/>
      <c r="X195" s="65"/>
      <c r="Y195" s="65"/>
      <c r="Z195" s="19"/>
    </row>
    <row r="196" spans="1:26" x14ac:dyDescent="0.2">
      <c r="A196" s="111"/>
      <c r="B196" s="111"/>
      <c r="C196" s="111"/>
      <c r="D196" s="22"/>
      <c r="E196" s="21"/>
      <c r="F196" s="21"/>
      <c r="G196" s="21"/>
      <c r="H196" s="111"/>
      <c r="I196" s="20"/>
      <c r="J196" s="20"/>
      <c r="K196" s="21"/>
      <c r="L196" s="22"/>
      <c r="M196" s="20"/>
      <c r="N196" s="19"/>
      <c r="O196" s="19"/>
      <c r="P196" s="22"/>
      <c r="Q196" s="43"/>
      <c r="R196" s="38"/>
      <c r="S196" s="38"/>
      <c r="T196" s="38"/>
      <c r="U196" s="19"/>
      <c r="V196" s="19"/>
      <c r="W196" s="19"/>
      <c r="X196" s="19"/>
      <c r="Y196" s="19"/>
      <c r="Z196" s="19"/>
    </row>
    <row r="197" spans="1:26" x14ac:dyDescent="0.2">
      <c r="A197" s="112"/>
      <c r="B197" s="112"/>
      <c r="C197" s="112"/>
      <c r="D197" s="22"/>
      <c r="E197" s="21"/>
      <c r="F197" s="21"/>
      <c r="G197" s="21"/>
      <c r="H197" s="112"/>
      <c r="I197" s="20"/>
      <c r="J197" s="20"/>
      <c r="K197" s="21"/>
      <c r="L197" s="22"/>
      <c r="M197" s="20"/>
      <c r="N197" s="19"/>
      <c r="O197" s="19"/>
      <c r="P197" s="22"/>
      <c r="Q197" s="43"/>
      <c r="R197" s="38"/>
      <c r="S197" s="38"/>
      <c r="T197" s="38"/>
      <c r="U197" s="19"/>
      <c r="V197" s="19"/>
      <c r="W197" s="19"/>
      <c r="X197" s="19"/>
      <c r="Y197" s="19"/>
      <c r="Z197" s="19"/>
    </row>
    <row r="198" spans="1:26" x14ac:dyDescent="0.2">
      <c r="A198" s="121"/>
      <c r="B198" s="121"/>
      <c r="C198" s="121"/>
      <c r="D198" s="22"/>
      <c r="E198" s="21"/>
      <c r="F198" s="21"/>
      <c r="G198" s="21"/>
      <c r="H198" s="121"/>
      <c r="I198" s="20"/>
      <c r="J198" s="20"/>
      <c r="K198" s="21"/>
      <c r="L198" s="22"/>
      <c r="M198" s="20"/>
      <c r="N198" s="19"/>
      <c r="O198" s="19"/>
      <c r="P198" s="22"/>
      <c r="Q198" s="43"/>
      <c r="R198" s="38"/>
      <c r="S198" s="38"/>
      <c r="T198" s="38"/>
      <c r="U198" s="19"/>
      <c r="V198" s="19"/>
      <c r="W198" s="19"/>
      <c r="X198" s="65"/>
      <c r="Y198" s="65"/>
      <c r="Z198" s="19"/>
    </row>
    <row r="199" spans="1:26" x14ac:dyDescent="0.2">
      <c r="A199" s="111"/>
      <c r="B199" s="111"/>
      <c r="C199" s="111"/>
      <c r="D199" s="22"/>
      <c r="E199" s="21"/>
      <c r="F199" s="21"/>
      <c r="G199" s="21"/>
      <c r="H199" s="111"/>
      <c r="I199" s="20"/>
      <c r="J199" s="20"/>
      <c r="K199" s="21"/>
      <c r="L199" s="22"/>
      <c r="M199" s="20"/>
      <c r="N199" s="19"/>
      <c r="O199" s="19"/>
      <c r="P199" s="22"/>
      <c r="Q199" s="43"/>
      <c r="R199" s="38"/>
      <c r="S199" s="38"/>
      <c r="T199" s="38"/>
      <c r="U199" s="19"/>
      <c r="V199" s="19"/>
      <c r="W199" s="19"/>
      <c r="X199" s="19"/>
      <c r="Y199" s="19"/>
      <c r="Z199" s="19"/>
    </row>
    <row r="200" spans="1:26" x14ac:dyDescent="0.2">
      <c r="A200" s="112"/>
      <c r="B200" s="112"/>
      <c r="C200" s="112"/>
      <c r="D200" s="22"/>
      <c r="E200" s="21"/>
      <c r="F200" s="21"/>
      <c r="G200" s="21"/>
      <c r="H200" s="112"/>
      <c r="I200" s="20"/>
      <c r="J200" s="20"/>
      <c r="K200" s="21"/>
      <c r="L200" s="22"/>
      <c r="M200" s="20"/>
      <c r="N200" s="19"/>
      <c r="O200" s="19"/>
      <c r="P200" s="22"/>
      <c r="Q200" s="43"/>
      <c r="R200" s="38"/>
      <c r="S200" s="38"/>
      <c r="T200" s="38"/>
      <c r="U200" s="19"/>
      <c r="V200" s="19"/>
      <c r="W200" s="19"/>
      <c r="X200" s="19"/>
      <c r="Y200" s="19"/>
      <c r="Z200" s="19"/>
    </row>
    <row r="201" spans="1:26" x14ac:dyDescent="0.2">
      <c r="A201" s="121"/>
      <c r="B201" s="121"/>
      <c r="C201" s="121"/>
      <c r="D201" s="22"/>
      <c r="E201" s="21"/>
      <c r="F201" s="21"/>
      <c r="G201" s="21"/>
      <c r="H201" s="121"/>
      <c r="I201" s="20"/>
      <c r="J201" s="20"/>
      <c r="K201" s="21"/>
      <c r="L201" s="22"/>
      <c r="M201" s="20"/>
      <c r="N201" s="19"/>
      <c r="O201" s="19"/>
      <c r="P201" s="22"/>
      <c r="Q201" s="43"/>
      <c r="R201" s="38"/>
      <c r="S201" s="38"/>
      <c r="T201" s="38"/>
      <c r="U201" s="19"/>
      <c r="V201" s="19"/>
      <c r="W201" s="19"/>
      <c r="X201" s="65"/>
      <c r="Y201" s="65"/>
      <c r="Z201" s="19"/>
    </row>
    <row r="202" spans="1:26" x14ac:dyDescent="0.2">
      <c r="A202" s="111"/>
      <c r="B202" s="111"/>
      <c r="C202" s="111"/>
      <c r="D202" s="22"/>
      <c r="E202" s="21"/>
      <c r="F202" s="21"/>
      <c r="G202" s="21"/>
      <c r="H202" s="111"/>
      <c r="I202" s="20"/>
      <c r="J202" s="20"/>
      <c r="K202" s="21"/>
      <c r="L202" s="22"/>
      <c r="M202" s="20"/>
      <c r="N202" s="19"/>
      <c r="O202" s="19"/>
      <c r="P202" s="22"/>
      <c r="Q202" s="43"/>
      <c r="R202" s="38"/>
      <c r="S202" s="38"/>
      <c r="T202" s="38"/>
      <c r="U202" s="19"/>
      <c r="V202" s="19"/>
      <c r="W202" s="19"/>
      <c r="X202" s="19"/>
      <c r="Y202" s="19"/>
      <c r="Z202" s="19"/>
    </row>
    <row r="203" spans="1:26" x14ac:dyDescent="0.2">
      <c r="A203" s="112"/>
      <c r="B203" s="112"/>
      <c r="C203" s="112"/>
      <c r="D203" s="22"/>
      <c r="E203" s="21"/>
      <c r="F203" s="21"/>
      <c r="G203" s="21"/>
      <c r="H203" s="112"/>
      <c r="I203" s="20"/>
      <c r="J203" s="20"/>
      <c r="K203" s="21"/>
      <c r="L203" s="22"/>
      <c r="M203" s="20"/>
      <c r="N203" s="19"/>
      <c r="O203" s="19"/>
      <c r="P203" s="22"/>
      <c r="Q203" s="43"/>
      <c r="R203" s="38"/>
      <c r="S203" s="38"/>
      <c r="T203" s="38"/>
      <c r="U203" s="19"/>
      <c r="V203" s="19"/>
      <c r="W203" s="19"/>
      <c r="X203" s="19"/>
      <c r="Y203" s="19"/>
      <c r="Z203" s="19"/>
    </row>
    <row r="204" spans="1:26" x14ac:dyDescent="0.2">
      <c r="A204" s="121"/>
      <c r="B204" s="121"/>
      <c r="C204" s="121"/>
      <c r="D204" s="22"/>
      <c r="E204" s="21"/>
      <c r="F204" s="21"/>
      <c r="G204" s="21"/>
      <c r="H204" s="121"/>
      <c r="I204" s="20"/>
      <c r="J204" s="20"/>
      <c r="K204" s="21"/>
      <c r="L204" s="22"/>
      <c r="M204" s="20"/>
      <c r="N204" s="19"/>
      <c r="O204" s="19"/>
      <c r="P204" s="22"/>
      <c r="Q204" s="43"/>
      <c r="R204" s="38"/>
      <c r="S204" s="38"/>
      <c r="T204" s="38"/>
      <c r="U204" s="19"/>
      <c r="V204" s="19"/>
      <c r="W204" s="19"/>
      <c r="X204" s="65"/>
      <c r="Y204" s="65"/>
      <c r="Z204" s="19"/>
    </row>
    <row r="205" spans="1:26" x14ac:dyDescent="0.2">
      <c r="A205" s="111"/>
      <c r="B205" s="111"/>
      <c r="C205" s="111"/>
      <c r="D205" s="22"/>
      <c r="E205" s="21"/>
      <c r="F205" s="21"/>
      <c r="G205" s="21"/>
      <c r="H205" s="111"/>
      <c r="I205" s="20"/>
      <c r="J205" s="20"/>
      <c r="K205" s="21"/>
      <c r="L205" s="22"/>
      <c r="M205" s="20"/>
      <c r="N205" s="19"/>
      <c r="O205" s="19"/>
      <c r="P205" s="22"/>
      <c r="Q205" s="43"/>
      <c r="R205" s="38"/>
      <c r="S205" s="38"/>
      <c r="T205" s="38"/>
      <c r="U205" s="19"/>
      <c r="V205" s="19"/>
      <c r="W205" s="19"/>
      <c r="X205" s="19"/>
      <c r="Y205" s="19"/>
      <c r="Z205" s="19"/>
    </row>
    <row r="206" spans="1:26" x14ac:dyDescent="0.2">
      <c r="A206" s="112"/>
      <c r="B206" s="112"/>
      <c r="C206" s="112"/>
      <c r="D206" s="22"/>
      <c r="E206" s="21"/>
      <c r="F206" s="21"/>
      <c r="G206" s="21"/>
      <c r="H206" s="112"/>
      <c r="I206" s="20"/>
      <c r="J206" s="20"/>
      <c r="K206" s="21"/>
      <c r="L206" s="22"/>
      <c r="M206" s="20"/>
      <c r="N206" s="19"/>
      <c r="O206" s="19"/>
      <c r="P206" s="22"/>
      <c r="Q206" s="43"/>
      <c r="R206" s="38"/>
      <c r="S206" s="38"/>
      <c r="T206" s="38"/>
      <c r="U206" s="19"/>
      <c r="V206" s="19"/>
      <c r="W206" s="19"/>
      <c r="X206" s="19"/>
      <c r="Y206" s="19"/>
      <c r="Z206" s="19"/>
    </row>
    <row r="207" spans="1:26" x14ac:dyDescent="0.2">
      <c r="A207" s="121"/>
      <c r="B207" s="121"/>
      <c r="C207" s="121"/>
      <c r="D207" s="22"/>
      <c r="E207" s="21"/>
      <c r="F207" s="21"/>
      <c r="G207" s="21"/>
      <c r="H207" s="121"/>
      <c r="I207" s="20"/>
      <c r="J207" s="20"/>
      <c r="K207" s="21"/>
      <c r="L207" s="22"/>
      <c r="M207" s="20"/>
      <c r="N207" s="19"/>
      <c r="O207" s="19"/>
      <c r="P207" s="22"/>
      <c r="Q207" s="43"/>
      <c r="R207" s="38"/>
      <c r="S207" s="38"/>
      <c r="T207" s="38"/>
      <c r="U207" s="19"/>
      <c r="V207" s="19"/>
      <c r="W207" s="19"/>
      <c r="X207" s="65"/>
      <c r="Y207" s="65"/>
      <c r="Z207" s="19"/>
    </row>
    <row r="208" spans="1:26" x14ac:dyDescent="0.2">
      <c r="A208" s="111"/>
      <c r="B208" s="111"/>
      <c r="C208" s="111"/>
      <c r="D208" s="22"/>
      <c r="E208" s="21"/>
      <c r="F208" s="21"/>
      <c r="G208" s="21"/>
      <c r="H208" s="111"/>
      <c r="I208" s="20"/>
      <c r="J208" s="20"/>
      <c r="K208" s="21"/>
      <c r="L208" s="22"/>
      <c r="M208" s="20"/>
      <c r="N208" s="19"/>
      <c r="O208" s="19"/>
      <c r="P208" s="22"/>
      <c r="Q208" s="43"/>
      <c r="R208" s="38"/>
      <c r="S208" s="38"/>
      <c r="T208" s="38"/>
      <c r="U208" s="19"/>
      <c r="V208" s="19"/>
      <c r="W208" s="19"/>
      <c r="X208" s="19"/>
      <c r="Y208" s="19"/>
      <c r="Z208" s="19"/>
    </row>
    <row r="209" spans="1:26" x14ac:dyDescent="0.2">
      <c r="A209" s="112"/>
      <c r="B209" s="112"/>
      <c r="C209" s="112"/>
      <c r="D209" s="22"/>
      <c r="E209" s="21"/>
      <c r="F209" s="21"/>
      <c r="G209" s="21"/>
      <c r="H209" s="112"/>
      <c r="I209" s="20"/>
      <c r="J209" s="20"/>
      <c r="K209" s="21"/>
      <c r="L209" s="22"/>
      <c r="M209" s="20"/>
      <c r="N209" s="19"/>
      <c r="O209" s="19"/>
      <c r="P209" s="22"/>
      <c r="Q209" s="43"/>
      <c r="R209" s="38"/>
      <c r="S209" s="38"/>
      <c r="T209" s="38"/>
      <c r="U209" s="19"/>
      <c r="V209" s="19"/>
      <c r="W209" s="19"/>
      <c r="X209" s="19"/>
      <c r="Y209" s="19"/>
      <c r="Z209" s="19"/>
    </row>
    <row r="210" spans="1:26" x14ac:dyDescent="0.2">
      <c r="A210" s="121"/>
      <c r="B210" s="121"/>
      <c r="C210" s="121"/>
      <c r="D210" s="22"/>
      <c r="E210" s="21"/>
      <c r="F210" s="21"/>
      <c r="G210" s="21"/>
      <c r="H210" s="121"/>
      <c r="I210" s="20"/>
      <c r="J210" s="20"/>
      <c r="K210" s="21"/>
      <c r="L210" s="22"/>
      <c r="M210" s="20"/>
      <c r="N210" s="19"/>
      <c r="O210" s="19"/>
      <c r="P210" s="22"/>
      <c r="Q210" s="43"/>
      <c r="R210" s="38"/>
      <c r="S210" s="38"/>
      <c r="T210" s="38"/>
      <c r="U210" s="19"/>
      <c r="V210" s="19"/>
      <c r="W210" s="19"/>
      <c r="X210" s="65"/>
      <c r="Y210" s="65"/>
      <c r="Z210" s="19"/>
    </row>
    <row r="211" spans="1:26" x14ac:dyDescent="0.2">
      <c r="A211" s="111"/>
      <c r="B211" s="111"/>
      <c r="C211" s="111"/>
      <c r="D211" s="22"/>
      <c r="E211" s="21"/>
      <c r="F211" s="21"/>
      <c r="G211" s="21"/>
      <c r="H211" s="111"/>
      <c r="I211" s="20"/>
      <c r="J211" s="20"/>
      <c r="K211" s="21"/>
      <c r="L211" s="22"/>
      <c r="M211" s="20"/>
      <c r="N211" s="19"/>
      <c r="O211" s="19"/>
      <c r="P211" s="22"/>
      <c r="Q211" s="43"/>
      <c r="R211" s="38"/>
      <c r="S211" s="38"/>
      <c r="T211" s="38"/>
      <c r="U211" s="19"/>
      <c r="V211" s="19"/>
      <c r="W211" s="19"/>
      <c r="X211" s="19"/>
      <c r="Y211" s="19"/>
      <c r="Z211" s="19"/>
    </row>
    <row r="212" spans="1:26" x14ac:dyDescent="0.2">
      <c r="A212" s="112"/>
      <c r="B212" s="112"/>
      <c r="C212" s="112"/>
      <c r="D212" s="22"/>
      <c r="E212" s="21"/>
      <c r="F212" s="21"/>
      <c r="G212" s="21"/>
      <c r="H212" s="112"/>
      <c r="I212" s="20"/>
      <c r="J212" s="20"/>
      <c r="K212" s="21"/>
      <c r="L212" s="22"/>
      <c r="M212" s="20"/>
      <c r="N212" s="19"/>
      <c r="O212" s="19"/>
      <c r="P212" s="22"/>
      <c r="Q212" s="43"/>
      <c r="R212" s="38"/>
      <c r="S212" s="38"/>
      <c r="T212" s="38"/>
      <c r="U212" s="19"/>
      <c r="V212" s="19"/>
      <c r="W212" s="19"/>
      <c r="X212" s="19"/>
      <c r="Y212" s="19"/>
      <c r="Z212" s="19"/>
    </row>
    <row r="213" spans="1:26" x14ac:dyDescent="0.2">
      <c r="A213" s="121"/>
      <c r="B213" s="121"/>
      <c r="C213" s="121"/>
      <c r="D213" s="22"/>
      <c r="E213" s="21"/>
      <c r="F213" s="21"/>
      <c r="G213" s="21"/>
      <c r="H213" s="121"/>
      <c r="I213" s="20"/>
      <c r="J213" s="20"/>
      <c r="K213" s="21"/>
      <c r="L213" s="22"/>
      <c r="M213" s="20"/>
      <c r="N213" s="19"/>
      <c r="O213" s="19"/>
      <c r="P213" s="22"/>
      <c r="Q213" s="43"/>
      <c r="R213" s="38"/>
      <c r="S213" s="38"/>
      <c r="T213" s="38"/>
      <c r="U213" s="19"/>
      <c r="V213" s="19"/>
      <c r="W213" s="19"/>
      <c r="X213" s="65"/>
      <c r="Y213" s="65"/>
      <c r="Z213" s="19"/>
    </row>
    <row r="214" spans="1:26" x14ac:dyDescent="0.2">
      <c r="A214" s="111"/>
      <c r="B214" s="111"/>
      <c r="C214" s="111"/>
      <c r="D214" s="22"/>
      <c r="E214" s="21"/>
      <c r="F214" s="21"/>
      <c r="G214" s="21"/>
      <c r="H214" s="111"/>
      <c r="I214" s="20"/>
      <c r="J214" s="20"/>
      <c r="K214" s="21"/>
      <c r="L214" s="22"/>
      <c r="M214" s="20"/>
      <c r="N214" s="19"/>
      <c r="O214" s="19"/>
      <c r="P214" s="22"/>
      <c r="Q214" s="43"/>
      <c r="R214" s="38"/>
      <c r="S214" s="38"/>
      <c r="T214" s="38"/>
      <c r="U214" s="19"/>
      <c r="V214" s="19"/>
      <c r="W214" s="19"/>
      <c r="X214" s="19"/>
      <c r="Y214" s="19"/>
      <c r="Z214" s="19"/>
    </row>
    <row r="215" spans="1:26" x14ac:dyDescent="0.2">
      <c r="A215" s="112"/>
      <c r="B215" s="112"/>
      <c r="C215" s="112"/>
      <c r="D215" s="22"/>
      <c r="E215" s="21"/>
      <c r="F215" s="21"/>
      <c r="G215" s="21"/>
      <c r="H215" s="112"/>
      <c r="I215" s="20"/>
      <c r="J215" s="20"/>
      <c r="K215" s="21"/>
      <c r="L215" s="22"/>
      <c r="M215" s="20"/>
      <c r="N215" s="19"/>
      <c r="O215" s="19"/>
      <c r="P215" s="22"/>
      <c r="Q215" s="43"/>
      <c r="R215" s="38"/>
      <c r="S215" s="38"/>
      <c r="T215" s="38"/>
      <c r="U215" s="19"/>
      <c r="V215" s="19"/>
      <c r="W215" s="19"/>
      <c r="X215" s="19"/>
      <c r="Y215" s="19"/>
      <c r="Z215" s="19"/>
    </row>
    <row r="216" spans="1:26" x14ac:dyDescent="0.2">
      <c r="A216" s="121"/>
      <c r="B216" s="121"/>
      <c r="C216" s="121"/>
      <c r="D216" s="22"/>
      <c r="E216" s="21"/>
      <c r="F216" s="21"/>
      <c r="G216" s="21"/>
      <c r="H216" s="121"/>
      <c r="I216" s="20"/>
      <c r="J216" s="20"/>
      <c r="K216" s="21"/>
      <c r="L216" s="22"/>
      <c r="M216" s="20"/>
      <c r="N216" s="19"/>
      <c r="O216" s="19"/>
      <c r="P216" s="22"/>
      <c r="Q216" s="43"/>
      <c r="R216" s="38"/>
      <c r="S216" s="38"/>
      <c r="T216" s="38"/>
      <c r="U216" s="19"/>
      <c r="V216" s="19"/>
      <c r="W216" s="19"/>
      <c r="X216" s="65"/>
      <c r="Y216" s="65"/>
      <c r="Z216" s="19"/>
    </row>
    <row r="217" spans="1:26" x14ac:dyDescent="0.2">
      <c r="A217" s="111"/>
      <c r="B217" s="111"/>
      <c r="C217" s="111"/>
      <c r="D217" s="22"/>
      <c r="E217" s="21"/>
      <c r="F217" s="21"/>
      <c r="G217" s="21"/>
      <c r="H217" s="111"/>
      <c r="I217" s="20"/>
      <c r="J217" s="20"/>
      <c r="K217" s="21"/>
      <c r="L217" s="22"/>
      <c r="M217" s="20"/>
      <c r="N217" s="19"/>
      <c r="O217" s="19"/>
      <c r="P217" s="22"/>
      <c r="Q217" s="43"/>
      <c r="R217" s="38"/>
      <c r="S217" s="38"/>
      <c r="T217" s="38"/>
      <c r="U217" s="19"/>
      <c r="V217" s="19"/>
      <c r="W217" s="19"/>
      <c r="X217" s="19"/>
      <c r="Y217" s="19"/>
      <c r="Z217" s="19"/>
    </row>
    <row r="218" spans="1:26" x14ac:dyDescent="0.2">
      <c r="A218" s="112"/>
      <c r="B218" s="112"/>
      <c r="C218" s="112"/>
      <c r="D218" s="22"/>
      <c r="E218" s="21"/>
      <c r="F218" s="21"/>
      <c r="G218" s="21"/>
      <c r="H218" s="112"/>
      <c r="I218" s="20"/>
      <c r="J218" s="20"/>
      <c r="K218" s="21"/>
      <c r="L218" s="22"/>
      <c r="M218" s="20"/>
      <c r="N218" s="19"/>
      <c r="O218" s="19"/>
      <c r="P218" s="22"/>
      <c r="Q218" s="43"/>
      <c r="R218" s="38"/>
      <c r="S218" s="38"/>
      <c r="T218" s="38"/>
      <c r="U218" s="19"/>
      <c r="V218" s="19"/>
      <c r="W218" s="19"/>
      <c r="X218" s="19"/>
      <c r="Y218" s="19"/>
      <c r="Z218" s="19"/>
    </row>
    <row r="219" spans="1:26" x14ac:dyDescent="0.2">
      <c r="A219" s="121"/>
      <c r="B219" s="121"/>
      <c r="C219" s="121"/>
      <c r="D219" s="22"/>
      <c r="E219" s="21"/>
      <c r="F219" s="21"/>
      <c r="G219" s="21"/>
      <c r="H219" s="121"/>
      <c r="I219" s="20"/>
      <c r="J219" s="20"/>
      <c r="K219" s="21"/>
      <c r="L219" s="22"/>
      <c r="M219" s="20"/>
      <c r="N219" s="19"/>
      <c r="O219" s="19"/>
      <c r="P219" s="22"/>
      <c r="Q219" s="43"/>
      <c r="R219" s="38"/>
      <c r="S219" s="38"/>
      <c r="T219" s="38"/>
      <c r="U219" s="19"/>
      <c r="V219" s="19"/>
      <c r="W219" s="19"/>
      <c r="X219" s="65"/>
      <c r="Y219" s="65"/>
      <c r="Z219" s="19"/>
    </row>
    <row r="220" spans="1:26" x14ac:dyDescent="0.2">
      <c r="A220" s="111"/>
      <c r="B220" s="111"/>
      <c r="C220" s="111"/>
      <c r="D220" s="22"/>
      <c r="E220" s="21"/>
      <c r="F220" s="21"/>
      <c r="G220" s="21"/>
      <c r="H220" s="111"/>
      <c r="I220" s="20"/>
      <c r="J220" s="20"/>
      <c r="K220" s="21"/>
      <c r="L220" s="22"/>
      <c r="M220" s="20"/>
      <c r="N220" s="19"/>
      <c r="O220" s="19"/>
      <c r="P220" s="22"/>
      <c r="Q220" s="43"/>
      <c r="R220" s="38"/>
      <c r="S220" s="38"/>
      <c r="T220" s="38"/>
      <c r="U220" s="19"/>
      <c r="V220" s="19"/>
      <c r="W220" s="19"/>
      <c r="X220" s="19"/>
      <c r="Y220" s="19"/>
      <c r="Z220" s="19"/>
    </row>
    <row r="221" spans="1:26" x14ac:dyDescent="0.2">
      <c r="A221" s="112"/>
      <c r="B221" s="112"/>
      <c r="C221" s="112"/>
      <c r="D221" s="22"/>
      <c r="E221" s="21"/>
      <c r="F221" s="21"/>
      <c r="G221" s="21"/>
      <c r="H221" s="112"/>
      <c r="I221" s="20"/>
      <c r="J221" s="20"/>
      <c r="K221" s="21"/>
      <c r="L221" s="22"/>
      <c r="M221" s="20"/>
      <c r="N221" s="19"/>
      <c r="O221" s="19"/>
      <c r="P221" s="22"/>
      <c r="Q221" s="43"/>
      <c r="R221" s="38"/>
      <c r="S221" s="38"/>
      <c r="T221" s="38"/>
      <c r="U221" s="19"/>
      <c r="V221" s="19"/>
      <c r="W221" s="19"/>
      <c r="X221" s="19"/>
      <c r="Y221" s="19"/>
      <c r="Z221" s="19"/>
    </row>
    <row r="222" spans="1:26" x14ac:dyDescent="0.2">
      <c r="A222" s="121"/>
      <c r="B222" s="121"/>
      <c r="C222" s="121"/>
      <c r="D222" s="22"/>
      <c r="E222" s="21"/>
      <c r="F222" s="21"/>
      <c r="G222" s="21"/>
      <c r="H222" s="121"/>
      <c r="I222" s="20"/>
      <c r="J222" s="20"/>
      <c r="K222" s="21"/>
      <c r="L222" s="22"/>
      <c r="M222" s="20"/>
      <c r="N222" s="19"/>
      <c r="O222" s="19"/>
      <c r="P222" s="22"/>
      <c r="Q222" s="43"/>
      <c r="R222" s="38"/>
      <c r="S222" s="38"/>
      <c r="T222" s="38"/>
      <c r="U222" s="19"/>
      <c r="V222" s="19"/>
      <c r="W222" s="19"/>
      <c r="X222" s="65"/>
      <c r="Y222" s="65"/>
      <c r="Z222" s="19"/>
    </row>
    <row r="223" spans="1:26" x14ac:dyDescent="0.2">
      <c r="A223" s="111"/>
      <c r="B223" s="111"/>
      <c r="C223" s="111"/>
      <c r="D223" s="22"/>
      <c r="E223" s="21"/>
      <c r="F223" s="21"/>
      <c r="G223" s="21"/>
      <c r="H223" s="111"/>
      <c r="I223" s="20"/>
      <c r="J223" s="20"/>
      <c r="K223" s="21"/>
      <c r="L223" s="22"/>
      <c r="M223" s="20"/>
      <c r="N223" s="19"/>
      <c r="O223" s="19"/>
      <c r="P223" s="22"/>
      <c r="Q223" s="43"/>
      <c r="R223" s="38"/>
      <c r="S223" s="38"/>
      <c r="T223" s="38"/>
      <c r="U223" s="19"/>
      <c r="V223" s="19"/>
      <c r="W223" s="19"/>
      <c r="X223" s="19"/>
      <c r="Y223" s="19"/>
      <c r="Z223" s="19"/>
    </row>
    <row r="224" spans="1:26" x14ac:dyDescent="0.2">
      <c r="A224" s="112"/>
      <c r="B224" s="112"/>
      <c r="C224" s="112"/>
      <c r="D224" s="22"/>
      <c r="E224" s="21"/>
      <c r="F224" s="21"/>
      <c r="G224" s="21"/>
      <c r="H224" s="112"/>
      <c r="I224" s="20"/>
      <c r="J224" s="20"/>
      <c r="K224" s="21"/>
      <c r="L224" s="22"/>
      <c r="M224" s="20"/>
      <c r="N224" s="19"/>
      <c r="O224" s="19"/>
      <c r="P224" s="22"/>
      <c r="Q224" s="43"/>
      <c r="R224" s="38"/>
      <c r="S224" s="38"/>
      <c r="T224" s="38"/>
      <c r="U224" s="19"/>
      <c r="V224" s="19"/>
      <c r="W224" s="19"/>
      <c r="X224" s="19"/>
      <c r="Y224" s="19"/>
      <c r="Z224" s="19"/>
    </row>
    <row r="225" spans="1:26" x14ac:dyDescent="0.2">
      <c r="A225" s="121"/>
      <c r="B225" s="121"/>
      <c r="C225" s="121"/>
      <c r="D225" s="22"/>
      <c r="E225" s="21"/>
      <c r="F225" s="21"/>
      <c r="G225" s="21"/>
      <c r="H225" s="121"/>
      <c r="I225" s="20"/>
      <c r="J225" s="20"/>
      <c r="K225" s="21"/>
      <c r="L225" s="22"/>
      <c r="M225" s="20"/>
      <c r="N225" s="19"/>
      <c r="O225" s="19"/>
      <c r="P225" s="22"/>
      <c r="Q225" s="43"/>
      <c r="R225" s="38"/>
      <c r="S225" s="38"/>
      <c r="T225" s="38"/>
      <c r="U225" s="19"/>
      <c r="V225" s="19"/>
      <c r="W225" s="19"/>
      <c r="X225" s="65"/>
      <c r="Y225" s="65"/>
      <c r="Z225" s="19"/>
    </row>
    <row r="226" spans="1:26" x14ac:dyDescent="0.2">
      <c r="A226" s="111"/>
      <c r="B226" s="111"/>
      <c r="C226" s="111"/>
      <c r="D226" s="22"/>
      <c r="E226" s="21"/>
      <c r="F226" s="21"/>
      <c r="G226" s="21"/>
      <c r="H226" s="111"/>
      <c r="I226" s="20"/>
      <c r="J226" s="20"/>
      <c r="K226" s="21"/>
      <c r="L226" s="22"/>
      <c r="M226" s="20"/>
      <c r="N226" s="19"/>
      <c r="O226" s="19"/>
      <c r="P226" s="22"/>
      <c r="Q226" s="43"/>
      <c r="R226" s="38"/>
      <c r="S226" s="38"/>
      <c r="T226" s="38"/>
      <c r="U226" s="19"/>
      <c r="V226" s="19"/>
      <c r="W226" s="19"/>
      <c r="X226" s="19"/>
      <c r="Y226" s="19"/>
      <c r="Z226" s="19"/>
    </row>
    <row r="227" spans="1:26" x14ac:dyDescent="0.2">
      <c r="A227" s="112"/>
      <c r="B227" s="112"/>
      <c r="C227" s="112"/>
      <c r="D227" s="22"/>
      <c r="E227" s="21"/>
      <c r="F227" s="21"/>
      <c r="G227" s="21"/>
      <c r="H227" s="112"/>
      <c r="I227" s="20"/>
      <c r="J227" s="20"/>
      <c r="K227" s="21"/>
      <c r="L227" s="22"/>
      <c r="M227" s="20"/>
      <c r="N227" s="19"/>
      <c r="O227" s="19"/>
      <c r="P227" s="22"/>
      <c r="Q227" s="43"/>
      <c r="R227" s="38"/>
      <c r="S227" s="38"/>
      <c r="T227" s="38"/>
      <c r="U227" s="19"/>
      <c r="V227" s="19"/>
      <c r="W227" s="19"/>
      <c r="X227" s="19"/>
      <c r="Y227" s="19"/>
      <c r="Z227" s="19"/>
    </row>
    <row r="228" spans="1:26" x14ac:dyDescent="0.2">
      <c r="A228" s="121"/>
      <c r="B228" s="121"/>
      <c r="C228" s="121"/>
      <c r="D228" s="22"/>
      <c r="E228" s="21"/>
      <c r="F228" s="21"/>
      <c r="G228" s="21"/>
      <c r="H228" s="121"/>
      <c r="I228" s="20"/>
      <c r="J228" s="20"/>
      <c r="K228" s="21"/>
      <c r="L228" s="22"/>
      <c r="M228" s="20"/>
      <c r="N228" s="19"/>
      <c r="O228" s="19"/>
      <c r="P228" s="22"/>
      <c r="Q228" s="43"/>
      <c r="R228" s="38"/>
      <c r="S228" s="38"/>
      <c r="T228" s="38"/>
      <c r="U228" s="19"/>
      <c r="V228" s="19"/>
      <c r="W228" s="19"/>
      <c r="X228" s="65"/>
      <c r="Y228" s="65"/>
      <c r="Z228" s="19"/>
    </row>
    <row r="229" spans="1:26" x14ac:dyDescent="0.2">
      <c r="A229" s="111"/>
      <c r="B229" s="111"/>
      <c r="C229" s="111"/>
      <c r="D229" s="22"/>
      <c r="E229" s="21"/>
      <c r="F229" s="21"/>
      <c r="G229" s="21"/>
      <c r="H229" s="111"/>
      <c r="I229" s="20"/>
      <c r="J229" s="20"/>
      <c r="K229" s="21"/>
      <c r="L229" s="22"/>
      <c r="M229" s="20"/>
      <c r="N229" s="19"/>
      <c r="O229" s="19"/>
      <c r="P229" s="22"/>
      <c r="Q229" s="43"/>
      <c r="R229" s="38"/>
      <c r="S229" s="38"/>
      <c r="T229" s="38"/>
      <c r="U229" s="19"/>
      <c r="V229" s="19"/>
      <c r="W229" s="19"/>
      <c r="X229" s="19"/>
      <c r="Y229" s="19"/>
      <c r="Z229" s="19"/>
    </row>
    <row r="230" spans="1:26" x14ac:dyDescent="0.2">
      <c r="A230" s="112"/>
      <c r="B230" s="112"/>
      <c r="C230" s="112"/>
      <c r="D230" s="22"/>
      <c r="E230" s="21"/>
      <c r="F230" s="21"/>
      <c r="G230" s="21"/>
      <c r="H230" s="112"/>
      <c r="I230" s="20"/>
      <c r="J230" s="20"/>
      <c r="K230" s="21"/>
      <c r="L230" s="22"/>
      <c r="M230" s="20"/>
      <c r="N230" s="19"/>
      <c r="O230" s="19"/>
      <c r="P230" s="22"/>
      <c r="Q230" s="43"/>
      <c r="R230" s="38"/>
      <c r="S230" s="38"/>
      <c r="T230" s="38"/>
      <c r="U230" s="19"/>
      <c r="V230" s="19"/>
      <c r="W230" s="19"/>
      <c r="X230" s="19"/>
      <c r="Y230" s="19"/>
      <c r="Z230" s="19"/>
    </row>
    <row r="231" spans="1:26" x14ac:dyDescent="0.2">
      <c r="A231" s="121"/>
      <c r="B231" s="121"/>
      <c r="C231" s="121"/>
      <c r="D231" s="22"/>
      <c r="E231" s="21"/>
      <c r="F231" s="21"/>
      <c r="G231" s="21"/>
      <c r="H231" s="121"/>
      <c r="I231" s="20"/>
      <c r="J231" s="20"/>
      <c r="K231" s="21"/>
      <c r="L231" s="22"/>
      <c r="M231" s="20"/>
      <c r="N231" s="19"/>
      <c r="O231" s="19"/>
      <c r="P231" s="22"/>
      <c r="Q231" s="43"/>
      <c r="R231" s="38"/>
      <c r="S231" s="38"/>
      <c r="T231" s="38"/>
      <c r="U231" s="19"/>
      <c r="V231" s="19"/>
      <c r="W231" s="19"/>
      <c r="X231" s="65"/>
      <c r="Y231" s="65"/>
      <c r="Z231" s="19"/>
    </row>
    <row r="232" spans="1:26" x14ac:dyDescent="0.2">
      <c r="A232" s="111"/>
      <c r="B232" s="111"/>
      <c r="C232" s="111"/>
      <c r="D232" s="22"/>
      <c r="E232" s="21"/>
      <c r="F232" s="21"/>
      <c r="G232" s="21"/>
      <c r="H232" s="111"/>
      <c r="I232" s="20"/>
      <c r="J232" s="20"/>
      <c r="K232" s="21"/>
      <c r="L232" s="22"/>
      <c r="M232" s="20"/>
      <c r="N232" s="19"/>
      <c r="O232" s="19"/>
      <c r="P232" s="22"/>
      <c r="Q232" s="43"/>
      <c r="R232" s="38"/>
      <c r="S232" s="38"/>
      <c r="T232" s="38"/>
      <c r="U232" s="19"/>
      <c r="V232" s="19"/>
      <c r="W232" s="19"/>
      <c r="X232" s="19"/>
      <c r="Y232" s="19"/>
      <c r="Z232" s="19"/>
    </row>
    <row r="233" spans="1:26" x14ac:dyDescent="0.2">
      <c r="A233" s="112"/>
      <c r="B233" s="112"/>
      <c r="C233" s="112"/>
      <c r="D233" s="22"/>
      <c r="E233" s="21"/>
      <c r="F233" s="21"/>
      <c r="G233" s="21"/>
      <c r="H233" s="112"/>
      <c r="I233" s="20"/>
      <c r="J233" s="20"/>
      <c r="K233" s="21"/>
      <c r="L233" s="22"/>
      <c r="M233" s="20"/>
      <c r="N233" s="19"/>
      <c r="O233" s="19"/>
      <c r="P233" s="22"/>
      <c r="Q233" s="43"/>
      <c r="R233" s="38"/>
      <c r="S233" s="38"/>
      <c r="T233" s="38"/>
      <c r="U233" s="19"/>
      <c r="V233" s="19"/>
      <c r="W233" s="19"/>
      <c r="X233" s="19"/>
      <c r="Y233" s="19"/>
      <c r="Z233" s="19"/>
    </row>
    <row r="234" spans="1:26" x14ac:dyDescent="0.2">
      <c r="A234" s="121"/>
      <c r="B234" s="121"/>
      <c r="C234" s="121"/>
      <c r="D234" s="22"/>
      <c r="E234" s="21"/>
      <c r="F234" s="21"/>
      <c r="G234" s="21"/>
      <c r="H234" s="121"/>
      <c r="I234" s="20"/>
      <c r="J234" s="20"/>
      <c r="K234" s="21"/>
      <c r="L234" s="22"/>
      <c r="M234" s="20"/>
      <c r="N234" s="19"/>
      <c r="O234" s="19"/>
      <c r="P234" s="22"/>
      <c r="Q234" s="43"/>
      <c r="R234" s="38"/>
      <c r="S234" s="38"/>
      <c r="T234" s="38"/>
      <c r="U234" s="19"/>
      <c r="V234" s="19"/>
      <c r="W234" s="19"/>
      <c r="X234" s="65"/>
      <c r="Y234" s="65"/>
      <c r="Z234" s="19"/>
    </row>
    <row r="235" spans="1:26" x14ac:dyDescent="0.2">
      <c r="A235" s="111"/>
      <c r="B235" s="111"/>
      <c r="C235" s="111"/>
      <c r="D235" s="22"/>
      <c r="E235" s="21"/>
      <c r="F235" s="21"/>
      <c r="G235" s="21"/>
      <c r="H235" s="111"/>
      <c r="I235" s="20"/>
      <c r="J235" s="20"/>
      <c r="K235" s="21"/>
      <c r="L235" s="22"/>
      <c r="M235" s="20"/>
      <c r="N235" s="19"/>
      <c r="O235" s="19"/>
      <c r="P235" s="22"/>
      <c r="Q235" s="43"/>
      <c r="R235" s="38"/>
      <c r="S235" s="38"/>
      <c r="T235" s="38"/>
      <c r="U235" s="19"/>
      <c r="V235" s="19"/>
      <c r="W235" s="19"/>
      <c r="X235" s="19"/>
      <c r="Y235" s="19"/>
      <c r="Z235" s="19"/>
    </row>
    <row r="236" spans="1:26" x14ac:dyDescent="0.2">
      <c r="A236" s="112"/>
      <c r="B236" s="112"/>
      <c r="C236" s="112"/>
      <c r="D236" s="22"/>
      <c r="E236" s="21"/>
      <c r="F236" s="21"/>
      <c r="G236" s="21"/>
      <c r="H236" s="112"/>
      <c r="I236" s="20"/>
      <c r="J236" s="20"/>
      <c r="K236" s="21"/>
      <c r="L236" s="22"/>
      <c r="M236" s="20"/>
      <c r="N236" s="19"/>
      <c r="O236" s="19"/>
      <c r="P236" s="22"/>
      <c r="Q236" s="43"/>
      <c r="R236" s="38"/>
      <c r="S236" s="38"/>
      <c r="T236" s="38"/>
      <c r="U236" s="19"/>
      <c r="V236" s="19"/>
      <c r="W236" s="19"/>
      <c r="X236" s="19"/>
      <c r="Y236" s="19"/>
      <c r="Z236" s="19"/>
    </row>
    <row r="237" spans="1:26" x14ac:dyDescent="0.2">
      <c r="A237" s="121"/>
      <c r="B237" s="121"/>
      <c r="C237" s="121"/>
      <c r="D237" s="22"/>
      <c r="E237" s="21"/>
      <c r="F237" s="21"/>
      <c r="G237" s="21"/>
      <c r="H237" s="121"/>
      <c r="I237" s="20"/>
      <c r="J237" s="20"/>
      <c r="K237" s="21"/>
      <c r="L237" s="22"/>
      <c r="M237" s="20"/>
      <c r="N237" s="19"/>
      <c r="O237" s="19"/>
      <c r="P237" s="22"/>
      <c r="Q237" s="43"/>
      <c r="R237" s="38"/>
      <c r="S237" s="38"/>
      <c r="T237" s="38"/>
      <c r="U237" s="19"/>
      <c r="V237" s="19"/>
      <c r="W237" s="19"/>
      <c r="X237" s="65"/>
      <c r="Y237" s="65"/>
      <c r="Z237" s="19"/>
    </row>
    <row r="238" spans="1:26" x14ac:dyDescent="0.2">
      <c r="A238" s="111"/>
      <c r="B238" s="111"/>
      <c r="C238" s="111"/>
      <c r="D238" s="22"/>
      <c r="E238" s="21"/>
      <c r="F238" s="21"/>
      <c r="G238" s="21"/>
      <c r="H238" s="111"/>
      <c r="I238" s="20"/>
      <c r="J238" s="20"/>
      <c r="K238" s="21"/>
      <c r="L238" s="22"/>
      <c r="M238" s="20"/>
      <c r="N238" s="19"/>
      <c r="O238" s="19"/>
      <c r="P238" s="22"/>
      <c r="Q238" s="43"/>
      <c r="R238" s="38"/>
      <c r="S238" s="38"/>
      <c r="T238" s="38"/>
      <c r="U238" s="19"/>
      <c r="V238" s="19"/>
      <c r="W238" s="19"/>
      <c r="X238" s="19"/>
      <c r="Y238" s="19"/>
      <c r="Z238" s="19"/>
    </row>
    <row r="239" spans="1:26" x14ac:dyDescent="0.2">
      <c r="A239" s="112"/>
      <c r="B239" s="112"/>
      <c r="C239" s="112"/>
      <c r="D239" s="22"/>
      <c r="E239" s="21"/>
      <c r="F239" s="21"/>
      <c r="G239" s="21"/>
      <c r="H239" s="112"/>
      <c r="I239" s="20"/>
      <c r="J239" s="20"/>
      <c r="K239" s="21"/>
      <c r="L239" s="22"/>
      <c r="M239" s="20"/>
      <c r="N239" s="19"/>
      <c r="O239" s="19"/>
      <c r="P239" s="22"/>
      <c r="Q239" s="43"/>
      <c r="R239" s="38"/>
      <c r="S239" s="38"/>
      <c r="T239" s="38"/>
      <c r="U239" s="19"/>
      <c r="V239" s="19"/>
      <c r="W239" s="19"/>
      <c r="X239" s="19"/>
      <c r="Y239" s="19"/>
      <c r="Z239" s="19"/>
    </row>
    <row r="240" spans="1:26" x14ac:dyDescent="0.2">
      <c r="A240" s="121"/>
      <c r="B240" s="121"/>
      <c r="C240" s="121"/>
      <c r="D240" s="22"/>
      <c r="E240" s="21"/>
      <c r="F240" s="21"/>
      <c r="G240" s="21"/>
      <c r="H240" s="121"/>
      <c r="I240" s="20"/>
      <c r="J240" s="20"/>
      <c r="K240" s="21"/>
      <c r="L240" s="22"/>
      <c r="M240" s="20"/>
      <c r="N240" s="19"/>
      <c r="O240" s="19"/>
      <c r="P240" s="22"/>
      <c r="Q240" s="43"/>
      <c r="R240" s="38"/>
      <c r="S240" s="38"/>
      <c r="T240" s="38"/>
      <c r="U240" s="19"/>
      <c r="V240" s="19"/>
      <c r="W240" s="19"/>
      <c r="X240" s="65"/>
      <c r="Y240" s="65"/>
      <c r="Z240" s="19"/>
    </row>
    <row r="241" spans="1:26" x14ac:dyDescent="0.2">
      <c r="A241" s="111"/>
      <c r="B241" s="111"/>
      <c r="C241" s="111"/>
      <c r="D241" s="22"/>
      <c r="E241" s="21"/>
      <c r="F241" s="21"/>
      <c r="G241" s="21"/>
      <c r="H241" s="111"/>
      <c r="I241" s="20"/>
      <c r="J241" s="20"/>
      <c r="K241" s="21"/>
      <c r="L241" s="22"/>
      <c r="M241" s="20"/>
      <c r="N241" s="19"/>
      <c r="O241" s="19"/>
      <c r="P241" s="22"/>
      <c r="Q241" s="43"/>
      <c r="R241" s="38"/>
      <c r="S241" s="38"/>
      <c r="T241" s="38"/>
      <c r="U241" s="19"/>
      <c r="V241" s="19"/>
      <c r="W241" s="19"/>
      <c r="X241" s="19"/>
      <c r="Y241" s="19"/>
      <c r="Z241" s="19"/>
    </row>
    <row r="242" spans="1:26" x14ac:dyDescent="0.2">
      <c r="A242" s="112"/>
      <c r="B242" s="112"/>
      <c r="C242" s="112"/>
      <c r="D242" s="22"/>
      <c r="E242" s="21"/>
      <c r="F242" s="21"/>
      <c r="G242" s="21"/>
      <c r="H242" s="112"/>
      <c r="I242" s="20"/>
      <c r="J242" s="20"/>
      <c r="K242" s="21"/>
      <c r="L242" s="22"/>
      <c r="M242" s="20"/>
      <c r="N242" s="19"/>
      <c r="O242" s="19"/>
      <c r="P242" s="22"/>
      <c r="Q242" s="43"/>
      <c r="R242" s="38"/>
      <c r="S242" s="38"/>
      <c r="T242" s="38"/>
      <c r="U242" s="19"/>
      <c r="V242" s="19"/>
      <c r="W242" s="19"/>
      <c r="X242" s="19"/>
      <c r="Y242" s="19"/>
      <c r="Z242" s="19"/>
    </row>
    <row r="243" spans="1:26" x14ac:dyDescent="0.2">
      <c r="A243" s="121"/>
      <c r="B243" s="121"/>
      <c r="C243" s="121"/>
      <c r="D243" s="22"/>
      <c r="E243" s="21"/>
      <c r="F243" s="21"/>
      <c r="G243" s="21"/>
      <c r="H243" s="121"/>
      <c r="I243" s="20"/>
      <c r="J243" s="20"/>
      <c r="K243" s="21"/>
      <c r="L243" s="22"/>
      <c r="M243" s="20"/>
      <c r="N243" s="19"/>
      <c r="O243" s="19"/>
      <c r="P243" s="22"/>
      <c r="Q243" s="43"/>
      <c r="R243" s="38"/>
      <c r="S243" s="38"/>
      <c r="T243" s="38"/>
      <c r="U243" s="19"/>
      <c r="V243" s="19"/>
      <c r="W243" s="19"/>
      <c r="X243" s="65"/>
      <c r="Y243" s="65"/>
      <c r="Z243" s="19"/>
    </row>
    <row r="244" spans="1:26" x14ac:dyDescent="0.2">
      <c r="A244" s="111"/>
      <c r="B244" s="111"/>
      <c r="C244" s="111"/>
      <c r="D244" s="22"/>
      <c r="E244" s="21"/>
      <c r="F244" s="21"/>
      <c r="G244" s="21"/>
      <c r="H244" s="111"/>
      <c r="I244" s="20"/>
      <c r="J244" s="20"/>
      <c r="K244" s="21"/>
      <c r="L244" s="22"/>
      <c r="M244" s="20"/>
      <c r="N244" s="19"/>
      <c r="O244" s="19"/>
      <c r="P244" s="22"/>
      <c r="Q244" s="43"/>
      <c r="R244" s="38"/>
      <c r="S244" s="38"/>
      <c r="T244" s="38"/>
      <c r="U244" s="19"/>
      <c r="V244" s="19"/>
      <c r="W244" s="19"/>
      <c r="X244" s="19"/>
      <c r="Y244" s="19"/>
      <c r="Z244" s="19"/>
    </row>
    <row r="245" spans="1:26" x14ac:dyDescent="0.2">
      <c r="A245" s="112"/>
      <c r="B245" s="112"/>
      <c r="C245" s="112"/>
      <c r="D245" s="22"/>
      <c r="E245" s="21"/>
      <c r="F245" s="21"/>
      <c r="G245" s="21"/>
      <c r="H245" s="112"/>
      <c r="I245" s="20"/>
      <c r="J245" s="20"/>
      <c r="K245" s="21"/>
      <c r="L245" s="22"/>
      <c r="M245" s="20"/>
      <c r="N245" s="19"/>
      <c r="O245" s="19"/>
      <c r="P245" s="22"/>
      <c r="Q245" s="43"/>
      <c r="R245" s="38"/>
      <c r="S245" s="38"/>
      <c r="T245" s="38"/>
      <c r="U245" s="19"/>
      <c r="V245" s="19"/>
      <c r="W245" s="19"/>
      <c r="X245" s="19"/>
      <c r="Y245" s="19"/>
      <c r="Z245" s="19"/>
    </row>
    <row r="246" spans="1:26" x14ac:dyDescent="0.2">
      <c r="A246" s="121"/>
      <c r="B246" s="121"/>
      <c r="C246" s="121"/>
      <c r="D246" s="22"/>
      <c r="E246" s="21"/>
      <c r="F246" s="21"/>
      <c r="G246" s="21"/>
      <c r="H246" s="121"/>
      <c r="I246" s="20"/>
      <c r="J246" s="20"/>
      <c r="K246" s="21"/>
      <c r="L246" s="22"/>
      <c r="M246" s="20"/>
      <c r="N246" s="19"/>
      <c r="O246" s="19"/>
      <c r="P246" s="22"/>
      <c r="Q246" s="43"/>
      <c r="R246" s="38"/>
      <c r="S246" s="38"/>
      <c r="T246" s="38"/>
      <c r="U246" s="19"/>
      <c r="V246" s="19"/>
      <c r="W246" s="19"/>
      <c r="X246" s="65"/>
      <c r="Y246" s="65"/>
      <c r="Z246" s="19"/>
    </row>
    <row r="247" spans="1:26" x14ac:dyDescent="0.2">
      <c r="A247" s="111"/>
      <c r="B247" s="111"/>
      <c r="C247" s="111"/>
      <c r="D247" s="22"/>
      <c r="E247" s="21"/>
      <c r="F247" s="21"/>
      <c r="G247" s="21"/>
      <c r="H247" s="111"/>
      <c r="I247" s="20"/>
      <c r="J247" s="20"/>
      <c r="K247" s="21"/>
      <c r="L247" s="22"/>
      <c r="M247" s="20"/>
      <c r="N247" s="19"/>
      <c r="O247" s="19"/>
      <c r="P247" s="22"/>
      <c r="Q247" s="43"/>
      <c r="R247" s="38"/>
      <c r="S247" s="38"/>
      <c r="T247" s="38"/>
      <c r="U247" s="19"/>
      <c r="V247" s="19"/>
      <c r="W247" s="19"/>
      <c r="X247" s="19"/>
      <c r="Y247" s="19"/>
      <c r="Z247" s="19"/>
    </row>
    <row r="248" spans="1:26" x14ac:dyDescent="0.2">
      <c r="A248" s="112"/>
      <c r="B248" s="112"/>
      <c r="C248" s="112"/>
      <c r="D248" s="22"/>
      <c r="E248" s="21"/>
      <c r="F248" s="21"/>
      <c r="G248" s="21"/>
      <c r="H248" s="112"/>
      <c r="I248" s="20"/>
      <c r="J248" s="20"/>
      <c r="K248" s="21"/>
      <c r="L248" s="22"/>
      <c r="M248" s="20"/>
      <c r="N248" s="19"/>
      <c r="O248" s="19"/>
      <c r="P248" s="22"/>
      <c r="Q248" s="43"/>
      <c r="R248" s="38"/>
      <c r="S248" s="38"/>
      <c r="T248" s="38"/>
      <c r="U248" s="19"/>
      <c r="V248" s="19"/>
      <c r="W248" s="19"/>
      <c r="X248" s="19"/>
      <c r="Y248" s="19"/>
      <c r="Z248" s="19"/>
    </row>
  </sheetData>
  <mergeCells count="314">
    <mergeCell ref="W2:Z3"/>
    <mergeCell ref="C126:C128"/>
    <mergeCell ref="B81:B83"/>
    <mergeCell ref="B5:B6"/>
    <mergeCell ref="A78:A80"/>
    <mergeCell ref="A75:A77"/>
    <mergeCell ref="C75:C77"/>
    <mergeCell ref="A27:A29"/>
    <mergeCell ref="B186:B188"/>
    <mergeCell ref="C105:C107"/>
    <mergeCell ref="A141:A143"/>
    <mergeCell ref="B30:B32"/>
    <mergeCell ref="C120:C122"/>
    <mergeCell ref="A156:A158"/>
    <mergeCell ref="C42:C44"/>
    <mergeCell ref="B147:B149"/>
    <mergeCell ref="A129:A131"/>
    <mergeCell ref="C129:C131"/>
    <mergeCell ref="A36:A38"/>
    <mergeCell ref="A207:A209"/>
    <mergeCell ref="A30:A32"/>
    <mergeCell ref="C30:C32"/>
    <mergeCell ref="H180:H182"/>
    <mergeCell ref="H117:H119"/>
    <mergeCell ref="B93:B95"/>
    <mergeCell ref="H132:H134"/>
    <mergeCell ref="C123:C125"/>
    <mergeCell ref="A90:A92"/>
    <mergeCell ref="C60:C62"/>
    <mergeCell ref="H48:H50"/>
    <mergeCell ref="C195:C197"/>
    <mergeCell ref="C189:C191"/>
    <mergeCell ref="H201:H203"/>
    <mergeCell ref="H138:H140"/>
    <mergeCell ref="H246:H248"/>
    <mergeCell ref="H75:H77"/>
    <mergeCell ref="B78:B80"/>
    <mergeCell ref="C237:C239"/>
    <mergeCell ref="A204:A206"/>
    <mergeCell ref="C174:C176"/>
    <mergeCell ref="B129:B131"/>
    <mergeCell ref="B144:B146"/>
    <mergeCell ref="B246:B248"/>
    <mergeCell ref="V2:V4"/>
    <mergeCell ref="B141:B143"/>
    <mergeCell ref="B135:B137"/>
    <mergeCell ref="H168:H170"/>
    <mergeCell ref="B72:B74"/>
    <mergeCell ref="B57:B59"/>
    <mergeCell ref="C84:C86"/>
    <mergeCell ref="C135:C137"/>
    <mergeCell ref="H87:H89"/>
    <mergeCell ref="B156:B158"/>
    <mergeCell ref="K3:K4"/>
    <mergeCell ref="C18:C19"/>
    <mergeCell ref="N3:N4"/>
    <mergeCell ref="B123:B125"/>
    <mergeCell ref="C78:C80"/>
    <mergeCell ref="C243:C245"/>
    <mergeCell ref="B204:B206"/>
    <mergeCell ref="C231:C233"/>
    <mergeCell ref="B228:B230"/>
    <mergeCell ref="C183:C185"/>
    <mergeCell ref="B243:B245"/>
    <mergeCell ref="H219:H221"/>
    <mergeCell ref="C198:C200"/>
    <mergeCell ref="C186:C188"/>
    <mergeCell ref="H234:H236"/>
    <mergeCell ref="I3:J3"/>
    <mergeCell ref="A132:A134"/>
    <mergeCell ref="A48:A50"/>
    <mergeCell ref="A246:A248"/>
    <mergeCell ref="C246:C248"/>
    <mergeCell ref="C177:C179"/>
    <mergeCell ref="A2:F3"/>
    <mergeCell ref="B69:B71"/>
    <mergeCell ref="A195:A197"/>
    <mergeCell ref="A210:A212"/>
    <mergeCell ref="A183:A185"/>
    <mergeCell ref="A198:A200"/>
    <mergeCell ref="A135:A137"/>
    <mergeCell ref="A186:A188"/>
    <mergeCell ref="A138:A140"/>
    <mergeCell ref="C228:C230"/>
    <mergeCell ref="C57:C59"/>
    <mergeCell ref="C222:C224"/>
    <mergeCell ref="B183:B185"/>
    <mergeCell ref="B198:B200"/>
    <mergeCell ref="B114:B116"/>
    <mergeCell ref="H210:H212"/>
    <mergeCell ref="C111:C113"/>
    <mergeCell ref="B66:B68"/>
    <mergeCell ref="M3:M4"/>
    <mergeCell ref="H147:H149"/>
    <mergeCell ref="B105:B107"/>
    <mergeCell ref="H63:H65"/>
    <mergeCell ref="C162:C164"/>
    <mergeCell ref="B132:B134"/>
    <mergeCell ref="H66:H68"/>
    <mergeCell ref="B54:B56"/>
    <mergeCell ref="A189:A191"/>
    <mergeCell ref="H81:H83"/>
    <mergeCell ref="C72:C74"/>
    <mergeCell ref="H195:H197"/>
    <mergeCell ref="A93:A95"/>
    <mergeCell ref="A111:A113"/>
    <mergeCell ref="A162:A164"/>
    <mergeCell ref="A177:A179"/>
    <mergeCell ref="A180:A182"/>
    <mergeCell ref="A117:A119"/>
    <mergeCell ref="A153:A155"/>
    <mergeCell ref="H2:N2"/>
    <mergeCell ref="H144:H146"/>
    <mergeCell ref="C99:C101"/>
    <mergeCell ref="H60:H62"/>
    <mergeCell ref="B225:B227"/>
    <mergeCell ref="C207:C209"/>
    <mergeCell ref="C36:C38"/>
    <mergeCell ref="B162:B164"/>
    <mergeCell ref="B177:B179"/>
    <mergeCell ref="B33:B35"/>
    <mergeCell ref="C159:C161"/>
    <mergeCell ref="C69:C71"/>
    <mergeCell ref="C96:C98"/>
    <mergeCell ref="H213:H215"/>
    <mergeCell ref="H42:H44"/>
    <mergeCell ref="C225:C227"/>
    <mergeCell ref="H30:H32"/>
    <mergeCell ref="C204:C206"/>
    <mergeCell ref="C33:C35"/>
    <mergeCell ref="B159:B161"/>
    <mergeCell ref="B96:B98"/>
    <mergeCell ref="B90:B92"/>
    <mergeCell ref="H123:H125"/>
    <mergeCell ref="C51:C53"/>
    <mergeCell ref="H174:H176"/>
    <mergeCell ref="C153:C155"/>
    <mergeCell ref="C48:C50"/>
    <mergeCell ref="B108:B110"/>
    <mergeCell ref="H189:H191"/>
    <mergeCell ref="B189:B191"/>
    <mergeCell ref="B45:B47"/>
    <mergeCell ref="H126:H128"/>
    <mergeCell ref="H237:H239"/>
    <mergeCell ref="B240:B242"/>
    <mergeCell ref="C201:C203"/>
    <mergeCell ref="A234:A236"/>
    <mergeCell ref="C138:C140"/>
    <mergeCell ref="A147:A149"/>
    <mergeCell ref="H186:H188"/>
    <mergeCell ref="A171:A173"/>
    <mergeCell ref="H240:H242"/>
    <mergeCell ref="A237:A239"/>
    <mergeCell ref="H192:H194"/>
    <mergeCell ref="C141:C143"/>
    <mergeCell ref="A159:A161"/>
    <mergeCell ref="A225:A227"/>
    <mergeCell ref="B180:B182"/>
    <mergeCell ref="C156:C158"/>
    <mergeCell ref="B18:B19"/>
    <mergeCell ref="C213:C215"/>
    <mergeCell ref="B24:B26"/>
    <mergeCell ref="A63:A65"/>
    <mergeCell ref="A150:A152"/>
    <mergeCell ref="C150:C152"/>
    <mergeCell ref="B51:B53"/>
    <mergeCell ref="B153:B155"/>
    <mergeCell ref="C108:C110"/>
    <mergeCell ref="A45:A47"/>
    <mergeCell ref="C45:C47"/>
    <mergeCell ref="C210:C212"/>
    <mergeCell ref="A87:A89"/>
    <mergeCell ref="B42:B44"/>
    <mergeCell ref="C114:C116"/>
    <mergeCell ref="B27:B29"/>
    <mergeCell ref="A240:A242"/>
    <mergeCell ref="H243:H245"/>
    <mergeCell ref="H99:H101"/>
    <mergeCell ref="C240:C242"/>
    <mergeCell ref="B99:B101"/>
    <mergeCell ref="B201:B203"/>
    <mergeCell ref="B237:B239"/>
    <mergeCell ref="B126:B128"/>
    <mergeCell ref="B138:B140"/>
    <mergeCell ref="H231:H233"/>
    <mergeCell ref="H165:H167"/>
    <mergeCell ref="C180:C182"/>
    <mergeCell ref="H114:H116"/>
    <mergeCell ref="C117:C119"/>
    <mergeCell ref="A126:A128"/>
    <mergeCell ref="C132:C134"/>
    <mergeCell ref="B21:B23"/>
    <mergeCell ref="C93:C95"/>
    <mergeCell ref="B219:B221"/>
    <mergeCell ref="B210:B212"/>
    <mergeCell ref="A174:A176"/>
    <mergeCell ref="C192:C194"/>
    <mergeCell ref="A42:A44"/>
    <mergeCell ref="A213:A215"/>
    <mergeCell ref="A60:A62"/>
    <mergeCell ref="C90:C92"/>
    <mergeCell ref="C27:C29"/>
    <mergeCell ref="B87:B89"/>
    <mergeCell ref="A66:A68"/>
    <mergeCell ref="A72:A74"/>
    <mergeCell ref="A108:A110"/>
    <mergeCell ref="A96:A98"/>
    <mergeCell ref="B231:B233"/>
    <mergeCell ref="H222:H224"/>
    <mergeCell ref="B60:B62"/>
    <mergeCell ref="A21:A23"/>
    <mergeCell ref="C21:C23"/>
    <mergeCell ref="A57:A59"/>
    <mergeCell ref="B84:B86"/>
    <mergeCell ref="H111:H113"/>
    <mergeCell ref="C87:C89"/>
    <mergeCell ref="A123:A125"/>
    <mergeCell ref="B213:B215"/>
    <mergeCell ref="A24:A26"/>
    <mergeCell ref="H150:H152"/>
    <mergeCell ref="C24:C26"/>
    <mergeCell ref="B150:B152"/>
    <mergeCell ref="H177:H179"/>
    <mergeCell ref="O2:U3"/>
    <mergeCell ref="A120:A122"/>
    <mergeCell ref="C171:C173"/>
    <mergeCell ref="A192:A194"/>
    <mergeCell ref="H207:H209"/>
    <mergeCell ref="H36:H38"/>
    <mergeCell ref="H72:H74"/>
    <mergeCell ref="H84:H86"/>
    <mergeCell ref="B174:B176"/>
    <mergeCell ref="A33:A35"/>
    <mergeCell ref="A18:A19"/>
    <mergeCell ref="A39:A41"/>
    <mergeCell ref="H162:H164"/>
    <mergeCell ref="A168:A170"/>
    <mergeCell ref="H93:H95"/>
    <mergeCell ref="C168:C170"/>
    <mergeCell ref="A243:A245"/>
    <mergeCell ref="A99:A101"/>
    <mergeCell ref="B168:B170"/>
    <mergeCell ref="H159:H161"/>
    <mergeCell ref="H96:H98"/>
    <mergeCell ref="A231:A233"/>
    <mergeCell ref="A165:A167"/>
    <mergeCell ref="C165:C167"/>
    <mergeCell ref="A102:A104"/>
    <mergeCell ref="B192:B194"/>
    <mergeCell ref="C102:C104"/>
    <mergeCell ref="H156:H158"/>
    <mergeCell ref="A219:A221"/>
    <mergeCell ref="C219:C221"/>
    <mergeCell ref="B216:B218"/>
    <mergeCell ref="H225:H227"/>
    <mergeCell ref="B234:B236"/>
    <mergeCell ref="B171:B173"/>
    <mergeCell ref="B222:B224"/>
    <mergeCell ref="H204:H206"/>
    <mergeCell ref="H33:H35"/>
    <mergeCell ref="H141:H143"/>
    <mergeCell ref="C216:C218"/>
    <mergeCell ref="B75:B77"/>
    <mergeCell ref="C234:C236"/>
    <mergeCell ref="C147:C149"/>
    <mergeCell ref="B102:B104"/>
    <mergeCell ref="B39:B41"/>
    <mergeCell ref="H90:H92"/>
    <mergeCell ref="C66:C68"/>
    <mergeCell ref="B63:B65"/>
    <mergeCell ref="B195:B197"/>
    <mergeCell ref="H216:H218"/>
    <mergeCell ref="A228:A230"/>
    <mergeCell ref="A84:A86"/>
    <mergeCell ref="A222:A224"/>
    <mergeCell ref="C63:C65"/>
    <mergeCell ref="B120:B122"/>
    <mergeCell ref="H153:H155"/>
    <mergeCell ref="A114:A116"/>
    <mergeCell ref="A216:A218"/>
    <mergeCell ref="A201:A203"/>
    <mergeCell ref="A105:A107"/>
    <mergeCell ref="H228:H230"/>
    <mergeCell ref="H105:H107"/>
    <mergeCell ref="H171:H173"/>
    <mergeCell ref="H102:H104"/>
    <mergeCell ref="H120:H122"/>
    <mergeCell ref="B36:B38"/>
    <mergeCell ref="H198:H200"/>
    <mergeCell ref="B207:B209"/>
    <mergeCell ref="H135:H137"/>
    <mergeCell ref="B165:B167"/>
    <mergeCell ref="H51:H53"/>
    <mergeCell ref="H57:H59"/>
    <mergeCell ref="H39:H41"/>
    <mergeCell ref="H54:H56"/>
    <mergeCell ref="H78:H80"/>
    <mergeCell ref="H129:H131"/>
    <mergeCell ref="H108:H110"/>
    <mergeCell ref="C54:C56"/>
    <mergeCell ref="B117:B119"/>
    <mergeCell ref="B111:B113"/>
    <mergeCell ref="H45:H47"/>
    <mergeCell ref="A144:A146"/>
    <mergeCell ref="H69:H71"/>
    <mergeCell ref="C39:C41"/>
    <mergeCell ref="C144:C146"/>
    <mergeCell ref="H183:H185"/>
    <mergeCell ref="A81:A83"/>
    <mergeCell ref="C81:C83"/>
    <mergeCell ref="B48:B50"/>
    <mergeCell ref="A51:A53"/>
    <mergeCell ref="A69:A71"/>
    <mergeCell ref="A54:A56"/>
  </mergeCells>
  <conditionalFormatting sqref="N5">
    <cfRule type="cellIs" dxfId="28" priority="38" operator="equal">
      <formula>"BAJO"</formula>
    </cfRule>
    <cfRule type="cellIs" dxfId="27" priority="39" operator="equal">
      <formula>"MEDIO"</formula>
    </cfRule>
    <cfRule type="cellIs" dxfId="26" priority="40" operator="equal">
      <formula>"ALTO"</formula>
    </cfRule>
  </conditionalFormatting>
  <conditionalFormatting sqref="N5:N248">
    <cfRule type="cellIs" dxfId="25" priority="35" operator="equal">
      <formula>"BAJO"</formula>
    </cfRule>
    <cfRule type="cellIs" dxfId="24" priority="36" operator="equal">
      <formula>"MEDIO"</formula>
    </cfRule>
    <cfRule type="cellIs" dxfId="23" priority="37" operator="equal">
      <formula>"ALTO"</formula>
    </cfRule>
  </conditionalFormatting>
  <conditionalFormatting sqref="N7 N10:N12 N14:N15 N17:N18 N20:N21 N24 N27 N30 N33 N36 N39 N42 N45 N48 N51 N54 N57 N60 N63 N66 N69 N72 N75 N78 N81 N84 N87 N90 N93 N96 N99 N102 N105 N108 N111 N114 N117 N120 N123 N126 N129 N132 N135 N138 N141 N144 N147 N150 N153 N156 N159 N162 N165 N168 N171 N174 N177 N180 N183 N186 N189 N192 N195 N198 N201 N204 N207 N210 N213 N216 N219 N222 N225 N228 N231 N234 N237 N240 N243 N246">
    <cfRule type="cellIs" dxfId="22" priority="16" operator="equal">
      <formula>"BAJO"</formula>
    </cfRule>
    <cfRule type="cellIs" dxfId="21" priority="17" operator="equal">
      <formula>"MEDIO"</formula>
    </cfRule>
    <cfRule type="cellIs" dxfId="20" priority="18" operator="equal">
      <formula>"ALTO"</formula>
    </cfRule>
  </conditionalFormatting>
  <conditionalFormatting sqref="O5:O248">
    <cfRule type="cellIs" dxfId="19" priority="30" operator="equal">
      <formula>"ACEPTAR"</formula>
    </cfRule>
    <cfRule type="cellIs" dxfId="18" priority="31" operator="equal">
      <formula>"MITIGAR / EVITAR / TRANSFERIR "</formula>
    </cfRule>
  </conditionalFormatting>
  <conditionalFormatting sqref="O6 O13 O16 O8">
    <cfRule type="cellIs" dxfId="17" priority="34" operator="equal">
      <formula>"MITIGAR / EVITAR / TRANSFERIR "</formula>
    </cfRule>
  </conditionalFormatting>
  <conditionalFormatting sqref="O6 O13 O16">
    <cfRule type="cellIs" dxfId="16" priority="32" operator="equal">
      <formula>"ACEPTAR"</formula>
    </cfRule>
    <cfRule type="cellIs" dxfId="15" priority="33" operator="equal">
      <formula>"MITIGAR / EVITAR / TRANSFERIR "</formula>
    </cfRule>
  </conditionalFormatting>
  <conditionalFormatting sqref="O8:O9 O19 O22:O23 O25:O26 O28:O29 O31:O32 O34:O35 O37:O38 O40:O41 O43:O44 O46:O47 O49:O50 O52:O53 O55:O56 O58:O59 O61:O62 O64:O65 O67:O68 O70:O71 O73:O74 O76:O77 O79:O80 O82:O83 O85:O86 O88:O89 O91:O92 O94:O95 O97:O98 O100:O101 O103:O104 O106:O107 O109:O110 O112:O113 O115:O116 O118:O119 O121:O122 O124:O125 O127:O128 O130:O131 O133:O134 O136:O137 O139:O140 O142:O143 O145:O146 O148:O149 O151:O152 O154:O155 O157:O158 O160:O161 O163:O164 O166:O167 O169:O170 O172:O173 O175:O176 O178:O179 O181:O182 O184:O185 O187:O188 O190:O191 O193:O194 O196:O197 O199:O200 O202:O203 O205:O206 O208:O209 O211:O212 O214:O215 O217:O218 O220:O221 O223:O224 O226:O227 O229:O230 O232:O233 O235:O236 O238:O239 O241:O242 O244:O245 O247:O248">
    <cfRule type="cellIs" dxfId="14" priority="13" operator="equal">
      <formula>"ACEPTAR"</formula>
    </cfRule>
    <cfRule type="cellIs" dxfId="13" priority="14" operator="equal">
      <formula>"MITIGAR / EVITAR / TRANSFERIR "</formula>
    </cfRule>
  </conditionalFormatting>
  <conditionalFormatting sqref="O9 O19 O22:O23 O25:O26 O28:O29 O31:O32 O34:O35 O37:O38 O40:O41 O43:O44 O46:O47 O49:O50 O52:O53 O55:O56 O58:O59 O61:O62 O64:O65 O67:O68 O70:O71 O73:O74 O76:O77 O79:O80 O82:O83 O85:O86 O88:O89 O91:O92 O94:O95 O97:O98 O100:O101 O103:O104 O106:O107 O109:O110 O112:O113 O115:O116 O118:O119 O121:O122 O124:O125 O127:O128 O130:O131 O133:O134 O136:O137 O139:O140 O142:O143 O145:O146 O148:O149 O151:O152 O154:O155 O157:O158 O160:O161 O163:O164 O166:O167 O169:O170 O172:O173 O175:O176 O178:O179 O181:O182 O184:O185 O187:O188 O190:O191 O193:O194 O196:O197 O199:O200 O202:O203 O205:O206 O208:O209 O211:O212 O214:O215 O217:O218 O220:O221 O223:O224 O226:O227 O229:O230 O232:O233 O235:O236 O238:O239 O241:O242 O244:O245 O247:O248">
    <cfRule type="cellIs" dxfId="12" priority="15" operator="equal">
      <formula>"MITIGAR / EVITAR / TRANSFERIR "</formula>
    </cfRule>
  </conditionalFormatting>
  <conditionalFormatting sqref="P5:P248">
    <cfRule type="cellIs" dxfId="11" priority="27" operator="equal">
      <formula>"NO APLICA CONTROL"</formula>
    </cfRule>
    <cfRule type="cellIs" dxfId="10" priority="28" operator="equal">
      <formula>"CONTROL CORRECTIVO"</formula>
    </cfRule>
    <cfRule type="cellIs" dxfId="9" priority="29" operator="equal">
      <formula>"CONTROL PREVENTIVO"</formula>
    </cfRule>
  </conditionalFormatting>
  <conditionalFormatting sqref="U5:U248">
    <cfRule type="cellIs" dxfId="8" priority="22" stopIfTrue="1" operator="equal">
      <formula>"BAJO"</formula>
    </cfRule>
    <cfRule type="cellIs" dxfId="7" priority="23" stopIfTrue="1" operator="equal">
      <formula>"MEDIO"</formula>
    </cfRule>
    <cfRule type="cellIs" dxfId="6" priority="24" stopIfTrue="1" operator="equal">
      <formula>"ALTO"</formula>
    </cfRule>
  </conditionalFormatting>
  <conditionalFormatting sqref="V5:V7">
    <cfRule type="cellIs" dxfId="5" priority="3" operator="equal">
      <formula>"INACEPTABLE"</formula>
    </cfRule>
    <cfRule type="cellIs" dxfId="4" priority="4" operator="equal">
      <formula>"ACEPTABLE"</formula>
    </cfRule>
  </conditionalFormatting>
  <conditionalFormatting sqref="W6 V8:W9 V10 V11:W11 V12 V13:W15 V16 V17:W248">
    <cfRule type="cellIs" dxfId="3" priority="25" operator="equal">
      <formula>"INACEPTABLE"</formula>
    </cfRule>
    <cfRule type="cellIs" dxfId="2" priority="26" operator="equal">
      <formula>"ACEPTABLE"</formula>
    </cfRule>
  </conditionalFormatting>
  <conditionalFormatting sqref="AA6">
    <cfRule type="cellIs" dxfId="1" priority="1" operator="equal">
      <formula>"INACEPTABLE"</formula>
    </cfRule>
    <cfRule type="cellIs" dxfId="0" priority="2" operator="equal">
      <formula>"ACEPTABLE"</formula>
    </cfRule>
  </conditionalFormatting>
  <dataValidations count="1">
    <dataValidation type="whole" allowBlank="1" showInputMessage="1" showErrorMessage="1" error="Valores permitidos entre 1 y 3" sqref="I5:J248 R5:S248" xr:uid="{00000000-0002-0000-0600-000000000000}">
      <formula1>1</formula1>
      <formula2>3</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Control de Cambios</vt:lpstr>
      <vt:lpstr>Tablas de referencia</vt:lpstr>
      <vt:lpstr>Instructivo</vt:lpstr>
      <vt:lpstr>Evaluación de Riesgos</vt:lpstr>
      <vt:lpstr>Valoración de Activos</vt:lpstr>
      <vt:lpstr>Análisis de Riesgos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 moreno</cp:lastModifiedBy>
  <dcterms:created xsi:type="dcterms:W3CDTF">2026-10-13T04:47:36Z</dcterms:created>
  <dcterms:modified xsi:type="dcterms:W3CDTF">2026-10-13T04:53:43Z</dcterms:modified>
</cp:coreProperties>
</file>